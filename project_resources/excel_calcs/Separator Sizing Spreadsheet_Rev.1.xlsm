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0" windowWidth="28800" windowHeight="12435" tabRatio="735"/>
  </bookViews>
  <sheets>
    <sheet name="Index" sheetId="2" r:id="rId1"/>
    <sheet name="Discussion" sheetId="19" r:id="rId2"/>
    <sheet name="Nomenclature" sheetId="13" r:id="rId3"/>
    <sheet name="References" sheetId="14" r:id="rId4"/>
    <sheet name="Std. Sep. sizes" sheetId="17" r:id="rId5"/>
    <sheet name="5A" sheetId="6" r:id="rId6"/>
    <sheet name="5B" sheetId="8" r:id="rId7"/>
    <sheet name="5C" sheetId="16" r:id="rId8"/>
    <sheet name="5D" sheetId="15" r:id="rId9"/>
    <sheet name="6A" sheetId="1" r:id="rId10"/>
    <sheet name="6B" sheetId="9" r:id="rId11"/>
    <sheet name="6C" sheetId="11" r:id="rId12"/>
    <sheet name="6D" sheetId="12" r:id="rId13"/>
  </sheets>
  <calcPr calcId="145621"/>
</workbook>
</file>

<file path=xl/calcChain.xml><?xml version="1.0" encoding="utf-8"?>
<calcChain xmlns="http://schemas.openxmlformats.org/spreadsheetml/2006/main">
  <c r="C41" i="12" l="1"/>
  <c r="B42" i="1" l="1"/>
  <c r="B43" i="1" s="1"/>
  <c r="B44" i="1" s="1"/>
  <c r="B45" i="1" s="1"/>
  <c r="B46" i="1" s="1"/>
  <c r="B47" i="1" s="1"/>
  <c r="B48" i="1" s="1"/>
  <c r="B49" i="1" s="1"/>
  <c r="B50" i="1" s="1"/>
  <c r="B51" i="1" s="1"/>
  <c r="C47" i="11" l="1"/>
  <c r="C10" i="15"/>
  <c r="C10" i="16"/>
  <c r="C17" i="8"/>
  <c r="C31" i="8" l="1"/>
  <c r="C32" i="8" s="1"/>
  <c r="C10" i="8" l="1"/>
  <c r="C10" i="6"/>
  <c r="E70" i="12" l="1"/>
  <c r="C49" i="12"/>
  <c r="E64" i="12" s="1"/>
  <c r="F64" i="12" s="1"/>
  <c r="C39" i="12"/>
  <c r="C42" i="12" s="1"/>
  <c r="C28" i="12"/>
  <c r="C32" i="12" s="1"/>
  <c r="C33" i="12" s="1"/>
  <c r="C27" i="12"/>
  <c r="C17" i="12"/>
  <c r="C10" i="12"/>
  <c r="C38" i="12" s="1"/>
  <c r="C43" i="12" s="1"/>
  <c r="E67" i="11"/>
  <c r="C60" i="11"/>
  <c r="D60" i="11" s="1"/>
  <c r="E60" i="11" s="1"/>
  <c r="C17" i="11"/>
  <c r="C26" i="11" s="1"/>
  <c r="C10" i="11"/>
  <c r="C36" i="9"/>
  <c r="E48" i="9" s="1"/>
  <c r="F48" i="9" s="1"/>
  <c r="C13" i="9"/>
  <c r="C22" i="9" s="1"/>
  <c r="C27" i="9" s="1"/>
  <c r="C10" i="9"/>
  <c r="C23" i="9" s="1"/>
  <c r="C36" i="1"/>
  <c r="C13" i="1"/>
  <c r="C21" i="1" s="1"/>
  <c r="C10" i="1"/>
  <c r="C22" i="1" s="1"/>
  <c r="E41" i="15"/>
  <c r="C40" i="15"/>
  <c r="C41" i="15" s="1"/>
  <c r="C37" i="15"/>
  <c r="C33" i="15"/>
  <c r="C34" i="15" s="1"/>
  <c r="C26" i="15"/>
  <c r="C13" i="15"/>
  <c r="C25" i="15" s="1"/>
  <c r="E39" i="16"/>
  <c r="C38" i="16"/>
  <c r="C39" i="16" s="1"/>
  <c r="C34" i="16"/>
  <c r="C35" i="16" s="1"/>
  <c r="C26" i="16"/>
  <c r="C20" i="16"/>
  <c r="C13" i="16"/>
  <c r="C25" i="16" s="1"/>
  <c r="C30" i="16" s="1"/>
  <c r="E39" i="8"/>
  <c r="C38" i="8"/>
  <c r="C39" i="8" s="1"/>
  <c r="C34" i="8"/>
  <c r="C35" i="8" s="1"/>
  <c r="C23" i="8"/>
  <c r="C28" i="8" s="1"/>
  <c r="C12" i="8"/>
  <c r="C9" i="8"/>
  <c r="C24" i="8" s="1"/>
  <c r="E38" i="6"/>
  <c r="C37" i="6"/>
  <c r="C38" i="6" s="1"/>
  <c r="C33" i="6"/>
  <c r="C34" i="6" s="1"/>
  <c r="C12" i="6"/>
  <c r="C23" i="6" s="1"/>
  <c r="C28" i="6" s="1"/>
  <c r="C9" i="6"/>
  <c r="C24" i="6" s="1"/>
  <c r="C29" i="16" l="1"/>
  <c r="C31" i="16" s="1"/>
  <c r="C32" i="16" s="1"/>
  <c r="C34" i="12"/>
  <c r="C37" i="11"/>
  <c r="C38" i="11" s="1"/>
  <c r="C27" i="11"/>
  <c r="C31" i="11" s="1"/>
  <c r="C32" i="11" s="1"/>
  <c r="C33" i="11" s="1"/>
  <c r="C34" i="11" s="1"/>
  <c r="C59" i="11"/>
  <c r="D59" i="11" s="1"/>
  <c r="E59" i="11" s="1"/>
  <c r="C54" i="11"/>
  <c r="D54" i="11" s="1"/>
  <c r="E54" i="11" s="1"/>
  <c r="C62" i="11"/>
  <c r="D62" i="11" s="1"/>
  <c r="E62" i="11" s="1"/>
  <c r="C55" i="11"/>
  <c r="D55" i="11" s="1"/>
  <c r="E55" i="11" s="1"/>
  <c r="C58" i="11"/>
  <c r="D58" i="11" s="1"/>
  <c r="E58" i="11" s="1"/>
  <c r="C53" i="11"/>
  <c r="C57" i="11"/>
  <c r="D57" i="11" s="1"/>
  <c r="E57" i="11" s="1"/>
  <c r="C61" i="11"/>
  <c r="D61" i="11" s="1"/>
  <c r="E61" i="11" s="1"/>
  <c r="C52" i="11"/>
  <c r="C56" i="11"/>
  <c r="D56" i="11" s="1"/>
  <c r="E56" i="11" s="1"/>
  <c r="C51" i="1"/>
  <c r="D51" i="1" s="1"/>
  <c r="E51" i="1" s="1"/>
  <c r="C41" i="1"/>
  <c r="D41" i="1" s="1"/>
  <c r="E41" i="1" s="1"/>
  <c r="C44" i="1"/>
  <c r="D44" i="1" s="1"/>
  <c r="E44" i="1" s="1"/>
  <c r="C48" i="1"/>
  <c r="D48" i="1" s="1"/>
  <c r="E48" i="1" s="1"/>
  <c r="C42" i="1"/>
  <c r="D42" i="1" s="1"/>
  <c r="E42" i="1" s="1"/>
  <c r="C45" i="1"/>
  <c r="D45" i="1" s="1"/>
  <c r="E45" i="1" s="1"/>
  <c r="C49" i="1"/>
  <c r="D49" i="1" s="1"/>
  <c r="E49" i="1" s="1"/>
  <c r="C43" i="1"/>
  <c r="D43" i="1" s="1"/>
  <c r="E43" i="1" s="1"/>
  <c r="C46" i="1"/>
  <c r="D46" i="1" s="1"/>
  <c r="E46" i="1" s="1"/>
  <c r="C50" i="1"/>
  <c r="D50" i="1" s="1"/>
  <c r="E50" i="1" s="1"/>
  <c r="C47" i="1"/>
  <c r="D47" i="1" s="1"/>
  <c r="E47" i="1" s="1"/>
  <c r="C32" i="1"/>
  <c r="C33" i="1" s="1"/>
  <c r="C26" i="1"/>
  <c r="C27" i="1" s="1"/>
  <c r="C28" i="1" s="1"/>
  <c r="C29" i="1" s="1"/>
  <c r="E43" i="9"/>
  <c r="F43" i="9" s="1"/>
  <c r="E47" i="9"/>
  <c r="F47" i="9" s="1"/>
  <c r="E51" i="9"/>
  <c r="F51" i="9" s="1"/>
  <c r="E41" i="9"/>
  <c r="F41" i="9" s="1"/>
  <c r="E45" i="9"/>
  <c r="F45" i="9" s="1"/>
  <c r="E49" i="9"/>
  <c r="F49" i="9" s="1"/>
  <c r="E42" i="9"/>
  <c r="F42" i="9" s="1"/>
  <c r="E46" i="9"/>
  <c r="F46" i="9" s="1"/>
  <c r="E50" i="9"/>
  <c r="F50" i="9" s="1"/>
  <c r="E44" i="9"/>
  <c r="F44" i="9" s="1"/>
  <c r="C29" i="15"/>
  <c r="C30" i="15"/>
  <c r="C28" i="9"/>
  <c r="C29" i="9" s="1"/>
  <c r="C30" i="9" s="1"/>
  <c r="C27" i="8"/>
  <c r="C29" i="8" s="1"/>
  <c r="C27" i="6"/>
  <c r="C29" i="6" s="1"/>
  <c r="C30" i="6" s="1"/>
  <c r="E55" i="12"/>
  <c r="F55" i="12" s="1"/>
  <c r="E57" i="12"/>
  <c r="F57" i="12" s="1"/>
  <c r="E59" i="12"/>
  <c r="F59" i="12" s="1"/>
  <c r="E61" i="12"/>
  <c r="F61" i="12" s="1"/>
  <c r="E63" i="12"/>
  <c r="F63" i="12" s="1"/>
  <c r="E54" i="12"/>
  <c r="F54" i="12" s="1"/>
  <c r="E56" i="12"/>
  <c r="F56" i="12" s="1"/>
  <c r="E58" i="12"/>
  <c r="F58" i="12" s="1"/>
  <c r="E60" i="12"/>
  <c r="F60" i="12" s="1"/>
  <c r="E62" i="12"/>
  <c r="F62" i="12" s="1"/>
  <c r="C70" i="12" l="1"/>
  <c r="C35" i="12"/>
  <c r="C46" i="12"/>
  <c r="C61" i="12" s="1"/>
  <c r="D61" i="12" s="1"/>
  <c r="G61" i="12" s="1"/>
  <c r="H61" i="12" s="1"/>
  <c r="D53" i="11"/>
  <c r="E53" i="11" s="1"/>
  <c r="D52" i="11"/>
  <c r="E52" i="11" s="1"/>
  <c r="C67" i="11"/>
  <c r="C41" i="11"/>
  <c r="C42" i="11" s="1"/>
  <c r="C44" i="11" s="1"/>
  <c r="C31" i="15"/>
  <c r="C33" i="9"/>
  <c r="C60" i="12" l="1"/>
  <c r="D60" i="12" s="1"/>
  <c r="G60" i="12" s="1"/>
  <c r="H60" i="12" s="1"/>
  <c r="C57" i="12"/>
  <c r="D57" i="12" s="1"/>
  <c r="G57" i="12" s="1"/>
  <c r="H57" i="12" s="1"/>
  <c r="C59" i="12"/>
  <c r="D59" i="12" s="1"/>
  <c r="G59" i="12" s="1"/>
  <c r="H59" i="12" s="1"/>
  <c r="C62" i="12"/>
  <c r="D62" i="12" s="1"/>
  <c r="G62" i="12" s="1"/>
  <c r="H62" i="12" s="1"/>
  <c r="C64" i="12"/>
  <c r="D64" i="12" s="1"/>
  <c r="G64" i="12" s="1"/>
  <c r="H64" i="12" s="1"/>
  <c r="C63" i="12"/>
  <c r="D63" i="12" s="1"/>
  <c r="G63" i="12" s="1"/>
  <c r="H63" i="12" s="1"/>
  <c r="C56" i="12"/>
  <c r="D56" i="12" s="1"/>
  <c r="G56" i="12" s="1"/>
  <c r="H56" i="12" s="1"/>
  <c r="C55" i="12"/>
  <c r="D55" i="12" s="1"/>
  <c r="G55" i="12" s="1"/>
  <c r="H55" i="12" s="1"/>
  <c r="C58" i="12"/>
  <c r="D58" i="12" s="1"/>
  <c r="G58" i="12" s="1"/>
  <c r="H58" i="12" s="1"/>
  <c r="C54" i="12"/>
  <c r="D54" i="12" s="1"/>
  <c r="G54" i="12" s="1"/>
  <c r="H54" i="12" s="1"/>
  <c r="C42" i="9"/>
  <c r="D42" i="9" s="1"/>
  <c r="G42" i="9" s="1"/>
  <c r="H42" i="9" s="1"/>
  <c r="C51" i="9"/>
  <c r="D51" i="9" s="1"/>
  <c r="G51" i="9" s="1"/>
  <c r="H51" i="9" s="1"/>
  <c r="C49" i="9"/>
  <c r="D49" i="9" s="1"/>
  <c r="G49" i="9" s="1"/>
  <c r="H49" i="9" s="1"/>
  <c r="C47" i="9"/>
  <c r="D47" i="9" s="1"/>
  <c r="G47" i="9" s="1"/>
  <c r="H47" i="9" s="1"/>
  <c r="C45" i="9"/>
  <c r="D45" i="9" s="1"/>
  <c r="G45" i="9" s="1"/>
  <c r="H45" i="9" s="1"/>
  <c r="C43" i="9"/>
  <c r="D43" i="9" s="1"/>
  <c r="G43" i="9" s="1"/>
  <c r="H43" i="9" s="1"/>
  <c r="C41" i="9"/>
  <c r="D41" i="9" s="1"/>
  <c r="G41" i="9" s="1"/>
  <c r="H41" i="9" s="1"/>
  <c r="C50" i="9"/>
  <c r="D50" i="9" s="1"/>
  <c r="G50" i="9" s="1"/>
  <c r="H50" i="9" s="1"/>
  <c r="C48" i="9"/>
  <c r="D48" i="9" s="1"/>
  <c r="G48" i="9" s="1"/>
  <c r="H48" i="9" s="1"/>
  <c r="C46" i="9"/>
  <c r="D46" i="9" s="1"/>
  <c r="G46" i="9" s="1"/>
  <c r="H46" i="9" s="1"/>
  <c r="C44" i="9"/>
  <c r="D44" i="9" s="1"/>
  <c r="G44" i="9" s="1"/>
  <c r="H44" i="9" s="1"/>
</calcChain>
</file>

<file path=xl/comments1.xml><?xml version="1.0" encoding="utf-8"?>
<comments xmlns="http://schemas.openxmlformats.org/spreadsheetml/2006/main">
  <authors>
    <author>Ajay Satpute</author>
  </authors>
  <commentList>
    <comment ref="C27" authorId="0">
      <text>
        <r>
          <rPr>
            <b/>
            <sz val="9"/>
            <color indexed="81"/>
            <rFont val="Tahoma"/>
            <family val="2"/>
          </rPr>
          <t>Souders-Brown equation</t>
        </r>
        <r>
          <rPr>
            <sz val="9"/>
            <color indexed="81"/>
            <rFont val="Tahoma"/>
            <family val="2"/>
          </rPr>
          <t xml:space="preserve"> </t>
        </r>
      </text>
    </comment>
    <comment ref="E38" authorId="0">
      <text>
        <r>
          <rPr>
            <b/>
            <sz val="9"/>
            <color indexed="81"/>
            <rFont val="Tahoma"/>
            <family val="2"/>
          </rPr>
          <t>Manipulate NLL and H to get appropriate W.</t>
        </r>
      </text>
    </comment>
  </commentList>
</comments>
</file>

<file path=xl/comments2.xml><?xml version="1.0" encoding="utf-8"?>
<comments xmlns="http://schemas.openxmlformats.org/spreadsheetml/2006/main">
  <authors>
    <author>Ajay Satpute</author>
  </authors>
  <commentList>
    <comment ref="C27" authorId="0">
      <text>
        <r>
          <rPr>
            <b/>
            <sz val="9"/>
            <color indexed="81"/>
            <rFont val="Tahoma"/>
            <family val="2"/>
          </rPr>
          <t>Souders-Brown equation</t>
        </r>
        <r>
          <rPr>
            <sz val="9"/>
            <color indexed="81"/>
            <rFont val="Tahoma"/>
            <family val="2"/>
          </rPr>
          <t xml:space="preserve"> </t>
        </r>
      </text>
    </comment>
    <comment ref="E39" authorId="0">
      <text>
        <r>
          <rPr>
            <b/>
            <sz val="9"/>
            <color indexed="81"/>
            <rFont val="Tahoma"/>
            <family val="2"/>
          </rPr>
          <t>Manipulate NLL and L to get appropriate W.</t>
        </r>
      </text>
    </comment>
  </commentList>
</comments>
</file>

<file path=xl/comments3.xml><?xml version="1.0" encoding="utf-8"?>
<comments xmlns="http://schemas.openxmlformats.org/spreadsheetml/2006/main">
  <authors>
    <author>Ajay Satpute</author>
  </authors>
  <commentList>
    <comment ref="C29" authorId="0">
      <text>
        <r>
          <rPr>
            <b/>
            <sz val="9"/>
            <color indexed="81"/>
            <rFont val="Tahoma"/>
            <family val="2"/>
          </rPr>
          <t>Souders-Brown equation</t>
        </r>
        <r>
          <rPr>
            <sz val="9"/>
            <color indexed="81"/>
            <rFont val="Tahoma"/>
            <family val="2"/>
          </rPr>
          <t xml:space="preserve"> </t>
        </r>
      </text>
    </comment>
    <comment ref="E39" authorId="0">
      <text>
        <r>
          <rPr>
            <b/>
            <sz val="9"/>
            <color indexed="81"/>
            <rFont val="Tahoma"/>
            <family val="2"/>
          </rPr>
          <t>Manipulate NLL, D and H to get appropriate W.</t>
        </r>
      </text>
    </comment>
  </commentList>
</comments>
</file>

<file path=xl/comments4.xml><?xml version="1.0" encoding="utf-8"?>
<comments xmlns="http://schemas.openxmlformats.org/spreadsheetml/2006/main">
  <authors>
    <author>Ajay Satpute</author>
  </authors>
  <commentList>
    <comment ref="C29" authorId="0">
      <text>
        <r>
          <rPr>
            <b/>
            <sz val="9"/>
            <color indexed="81"/>
            <rFont val="Tahoma"/>
            <family val="2"/>
          </rPr>
          <t>Souders-Brown equation</t>
        </r>
        <r>
          <rPr>
            <sz val="9"/>
            <color indexed="81"/>
            <rFont val="Tahoma"/>
            <family val="2"/>
          </rPr>
          <t xml:space="preserve"> </t>
        </r>
      </text>
    </comment>
    <comment ref="E41" authorId="0">
      <text>
        <r>
          <rPr>
            <b/>
            <sz val="9"/>
            <color indexed="81"/>
            <rFont val="Tahoma"/>
            <family val="2"/>
          </rPr>
          <t>Manipulate NLL, D and L to get appropriate W.</t>
        </r>
      </text>
    </comment>
  </commentList>
</comments>
</file>

<file path=xl/comments5.xml><?xml version="1.0" encoding="utf-8"?>
<comments xmlns="http://schemas.openxmlformats.org/spreadsheetml/2006/main">
  <authors>
    <author>Ajay Satpute</author>
  </authors>
  <commentList>
    <comment ref="C40" authorId="0">
      <text>
        <r>
          <rPr>
            <b/>
            <sz val="9"/>
            <color indexed="81"/>
            <rFont val="Tahoma"/>
            <family val="2"/>
          </rPr>
          <t>H = Height of oil column</t>
        </r>
      </text>
    </comment>
  </commentList>
</comments>
</file>

<file path=xl/sharedStrings.xml><?xml version="1.0" encoding="utf-8"?>
<sst xmlns="http://schemas.openxmlformats.org/spreadsheetml/2006/main" count="1194" uniqueCount="442">
  <si>
    <r>
      <t>ρ</t>
    </r>
    <r>
      <rPr>
        <vertAlign val="subscript"/>
        <sz val="11"/>
        <color theme="1"/>
        <rFont val="Calibri"/>
        <family val="2"/>
      </rPr>
      <t>g</t>
    </r>
  </si>
  <si>
    <r>
      <t>d</t>
    </r>
    <r>
      <rPr>
        <vertAlign val="subscript"/>
        <sz val="11"/>
        <color theme="1"/>
        <rFont val="Calibri"/>
        <family val="2"/>
      </rPr>
      <t>m</t>
    </r>
  </si>
  <si>
    <t>u</t>
  </si>
  <si>
    <t>P</t>
  </si>
  <si>
    <t>T</t>
  </si>
  <si>
    <t>Z</t>
  </si>
  <si>
    <t>D</t>
  </si>
  <si>
    <t>Re</t>
  </si>
  <si>
    <r>
      <t>µ</t>
    </r>
    <r>
      <rPr>
        <vertAlign val="subscript"/>
        <sz val="11"/>
        <color theme="1"/>
        <rFont val="Calibri"/>
        <family val="2"/>
      </rPr>
      <t>g</t>
    </r>
  </si>
  <si>
    <r>
      <t>Q</t>
    </r>
    <r>
      <rPr>
        <vertAlign val="subscript"/>
        <sz val="11"/>
        <color theme="1"/>
        <rFont val="Calibri"/>
        <family val="2"/>
      </rPr>
      <t>o</t>
    </r>
  </si>
  <si>
    <t>t</t>
  </si>
  <si>
    <r>
      <t>Q</t>
    </r>
    <r>
      <rPr>
        <vertAlign val="subscript"/>
        <sz val="11"/>
        <color theme="1"/>
        <rFont val="Calibri"/>
        <family val="2"/>
      </rPr>
      <t>g</t>
    </r>
  </si>
  <si>
    <t>mmscfd</t>
  </si>
  <si>
    <t>Gas rate</t>
  </si>
  <si>
    <t>γ</t>
  </si>
  <si>
    <t>Gas specific gravity</t>
  </si>
  <si>
    <t>bbl/d</t>
  </si>
  <si>
    <t>Oil rate</t>
  </si>
  <si>
    <t>Oil density</t>
  </si>
  <si>
    <r>
      <rPr>
        <vertAlign val="superscript"/>
        <sz val="11"/>
        <color theme="1"/>
        <rFont val="Calibri"/>
        <family val="2"/>
        <scheme val="minor"/>
      </rPr>
      <t>o</t>
    </r>
    <r>
      <rPr>
        <sz val="11"/>
        <color theme="1"/>
        <rFont val="Calibri"/>
        <family val="2"/>
        <scheme val="minor"/>
      </rPr>
      <t>API</t>
    </r>
  </si>
  <si>
    <t>psia</t>
  </si>
  <si>
    <t>Operating pressure</t>
  </si>
  <si>
    <t>Operating temperature</t>
  </si>
  <si>
    <r>
      <rPr>
        <vertAlign val="superscript"/>
        <sz val="11"/>
        <color theme="1"/>
        <rFont val="Calibri"/>
        <family val="2"/>
        <scheme val="minor"/>
      </rPr>
      <t>o</t>
    </r>
    <r>
      <rPr>
        <sz val="11"/>
        <color theme="1"/>
        <rFont val="Calibri"/>
        <family val="2"/>
        <scheme val="minor"/>
      </rPr>
      <t>F</t>
    </r>
  </si>
  <si>
    <r>
      <rPr>
        <vertAlign val="superscript"/>
        <sz val="11"/>
        <color theme="1"/>
        <rFont val="Calibri"/>
        <family val="2"/>
        <scheme val="minor"/>
      </rPr>
      <t>o</t>
    </r>
    <r>
      <rPr>
        <sz val="11"/>
        <color theme="1"/>
        <rFont val="Calibri"/>
        <family val="2"/>
        <scheme val="minor"/>
      </rPr>
      <t>R</t>
    </r>
  </si>
  <si>
    <t>minutes</t>
  </si>
  <si>
    <t>Step 1:</t>
  </si>
  <si>
    <t>Determine gas and oil properties</t>
  </si>
  <si>
    <t>Gas compressibility</t>
  </si>
  <si>
    <t>cP</t>
  </si>
  <si>
    <t>Gas viscosity</t>
  </si>
  <si>
    <r>
      <t>lb/ft</t>
    </r>
    <r>
      <rPr>
        <vertAlign val="superscript"/>
        <sz val="11"/>
        <color theme="1"/>
        <rFont val="Calibri"/>
        <family val="2"/>
        <scheme val="minor"/>
      </rPr>
      <t>3</t>
    </r>
  </si>
  <si>
    <r>
      <t>ρ</t>
    </r>
    <r>
      <rPr>
        <vertAlign val="subscript"/>
        <sz val="11"/>
        <color theme="1"/>
        <rFont val="Calibri"/>
        <family val="2"/>
      </rPr>
      <t>o</t>
    </r>
  </si>
  <si>
    <t>Step 2:</t>
  </si>
  <si>
    <r>
      <t>Determine C</t>
    </r>
    <r>
      <rPr>
        <vertAlign val="subscript"/>
        <sz val="11"/>
        <color theme="1"/>
        <rFont val="Calibri"/>
        <family val="2"/>
        <scheme val="minor"/>
      </rPr>
      <t>d</t>
    </r>
  </si>
  <si>
    <r>
      <t>C</t>
    </r>
    <r>
      <rPr>
        <vertAlign val="subscript"/>
        <sz val="11"/>
        <color theme="1"/>
        <rFont val="Calibri"/>
        <family val="2"/>
        <scheme val="minor"/>
      </rPr>
      <t>d</t>
    </r>
  </si>
  <si>
    <t>Assume</t>
  </si>
  <si>
    <t>Micron</t>
  </si>
  <si>
    <t>Smallest oil droplet size to be removed</t>
  </si>
  <si>
    <t>ft/s</t>
  </si>
  <si>
    <t>Settling velocity of oil droplet</t>
  </si>
  <si>
    <t>Reynolds no.</t>
  </si>
  <si>
    <t>Error</t>
  </si>
  <si>
    <t>Drag coefficient</t>
  </si>
  <si>
    <t>Step 3:</t>
  </si>
  <si>
    <t>Check for gas capacity constraint</t>
  </si>
  <si>
    <r>
      <t>D</t>
    </r>
    <r>
      <rPr>
        <vertAlign val="superscript"/>
        <sz val="11"/>
        <color theme="1"/>
        <rFont val="Calibri"/>
        <family val="2"/>
        <scheme val="minor"/>
      </rPr>
      <t>2</t>
    </r>
  </si>
  <si>
    <r>
      <t>D</t>
    </r>
    <r>
      <rPr>
        <vertAlign val="subscript"/>
        <sz val="11"/>
        <color theme="1"/>
        <rFont val="Calibri"/>
        <family val="2"/>
        <scheme val="minor"/>
      </rPr>
      <t>min</t>
    </r>
  </si>
  <si>
    <t>in</t>
  </si>
  <si>
    <t>Minimum allowable vessel diameter for separation of oil droplets down to 100 micron</t>
  </si>
  <si>
    <t>Step 4:</t>
  </si>
  <si>
    <t>Check for liquid capacity constraint</t>
  </si>
  <si>
    <r>
      <t>D</t>
    </r>
    <r>
      <rPr>
        <vertAlign val="superscript"/>
        <sz val="11"/>
        <color theme="1"/>
        <rFont val="Calibri"/>
        <family val="2"/>
        <scheme val="minor"/>
      </rPr>
      <t>2</t>
    </r>
    <r>
      <rPr>
        <sz val="11"/>
        <color theme="1"/>
        <rFont val="Calibri"/>
        <family val="2"/>
        <scheme val="minor"/>
      </rPr>
      <t>H</t>
    </r>
  </si>
  <si>
    <t>D, in</t>
  </si>
  <si>
    <t>H, in</t>
  </si>
  <si>
    <t>SR</t>
  </si>
  <si>
    <r>
      <t>L</t>
    </r>
    <r>
      <rPr>
        <vertAlign val="subscript"/>
        <sz val="11"/>
        <color theme="1"/>
        <rFont val="Calibri"/>
        <family val="2"/>
        <scheme val="minor"/>
      </rPr>
      <t>s</t>
    </r>
    <r>
      <rPr>
        <sz val="11"/>
        <color theme="1"/>
        <rFont val="Calibri"/>
        <family val="2"/>
        <scheme val="minor"/>
      </rPr>
      <t>, ft</t>
    </r>
  </si>
  <si>
    <t>ft</t>
  </si>
  <si>
    <r>
      <t>in</t>
    </r>
    <r>
      <rPr>
        <vertAlign val="superscript"/>
        <sz val="11"/>
        <color theme="1"/>
        <rFont val="Calibri"/>
        <family val="2"/>
        <scheme val="minor"/>
      </rPr>
      <t>2</t>
    </r>
  </si>
  <si>
    <t>INPUT PARAMETERS</t>
  </si>
  <si>
    <t>CALCULATIONS</t>
  </si>
  <si>
    <t>EQUATIONS</t>
  </si>
  <si>
    <t>Try different combinations of D.</t>
  </si>
  <si>
    <r>
      <t>Use goal seek to get error zero, by changing asssumed C</t>
    </r>
    <r>
      <rPr>
        <vertAlign val="subscript"/>
        <sz val="11"/>
        <color theme="1"/>
        <rFont val="Calibri"/>
        <family val="2"/>
        <scheme val="minor"/>
      </rPr>
      <t>d</t>
    </r>
  </si>
  <si>
    <t>LD</t>
  </si>
  <si>
    <r>
      <t>D</t>
    </r>
    <r>
      <rPr>
        <vertAlign val="superscript"/>
        <sz val="11"/>
        <color theme="1"/>
        <rFont val="Calibri"/>
        <family val="2"/>
        <scheme val="minor"/>
      </rPr>
      <t>2</t>
    </r>
    <r>
      <rPr>
        <sz val="11"/>
        <color theme="1"/>
        <rFont val="Calibri"/>
        <family val="2"/>
        <scheme val="minor"/>
      </rPr>
      <t>L</t>
    </r>
  </si>
  <si>
    <r>
      <t>in</t>
    </r>
    <r>
      <rPr>
        <vertAlign val="superscript"/>
        <sz val="11"/>
        <color theme="1"/>
        <rFont val="Calibri"/>
        <family val="2"/>
        <scheme val="minor"/>
      </rPr>
      <t>2</t>
    </r>
    <r>
      <rPr>
        <sz val="11"/>
        <color theme="1"/>
        <rFont val="Calibri"/>
        <family val="2"/>
        <scheme val="minor"/>
      </rPr>
      <t>.ft</t>
    </r>
  </si>
  <si>
    <t xml:space="preserve">http://petrowiki.org/Separator_sizing </t>
  </si>
  <si>
    <t xml:space="preserve">http://www.cheresources.com/invision/topic/11856-selecting-vertical-separator-ld-ratio/ </t>
  </si>
  <si>
    <t>Gas operating density</t>
  </si>
  <si>
    <t>Oil operating density</t>
  </si>
  <si>
    <r>
      <t>V</t>
    </r>
    <r>
      <rPr>
        <vertAlign val="subscript"/>
        <sz val="11"/>
        <color theme="1"/>
        <rFont val="Calibri"/>
        <family val="2"/>
        <scheme val="minor"/>
      </rPr>
      <t>a</t>
    </r>
  </si>
  <si>
    <t>K</t>
  </si>
  <si>
    <r>
      <t>Q</t>
    </r>
    <r>
      <rPr>
        <vertAlign val="subscript"/>
        <sz val="11"/>
        <color theme="1"/>
        <rFont val="Calibri"/>
        <family val="2"/>
        <scheme val="minor"/>
      </rPr>
      <t>g,a</t>
    </r>
  </si>
  <si>
    <t>Actual volume flow of gas</t>
  </si>
  <si>
    <r>
      <t>A</t>
    </r>
    <r>
      <rPr>
        <vertAlign val="subscript"/>
        <sz val="11"/>
        <color theme="1"/>
        <rFont val="Calibri"/>
        <family val="2"/>
        <scheme val="minor"/>
      </rPr>
      <t>g,min</t>
    </r>
  </si>
  <si>
    <r>
      <t>ft</t>
    </r>
    <r>
      <rPr>
        <vertAlign val="superscript"/>
        <sz val="11"/>
        <color theme="1"/>
        <rFont val="Calibri"/>
        <family val="2"/>
        <scheme val="minor"/>
      </rPr>
      <t>2</t>
    </r>
  </si>
  <si>
    <r>
      <t>ft</t>
    </r>
    <r>
      <rPr>
        <vertAlign val="superscript"/>
        <sz val="11"/>
        <color theme="1"/>
        <rFont val="Calibri"/>
        <family val="2"/>
        <scheme val="minor"/>
      </rPr>
      <t>3</t>
    </r>
    <r>
      <rPr>
        <sz val="11"/>
        <color theme="1"/>
        <rFont val="Calibri"/>
        <family val="2"/>
        <scheme val="minor"/>
      </rPr>
      <t>/s</t>
    </r>
  </si>
  <si>
    <t>Minimum gas flow area</t>
  </si>
  <si>
    <t>Minimum ID of separator</t>
  </si>
  <si>
    <t>W</t>
  </si>
  <si>
    <t>V</t>
  </si>
  <si>
    <t>bbl</t>
  </si>
  <si>
    <t>Liquid volume (excluding bottom head)</t>
  </si>
  <si>
    <t>bpd</t>
  </si>
  <si>
    <t>TABLES</t>
  </si>
  <si>
    <t>Height, ft</t>
  </si>
  <si>
    <t>Typical K factor range</t>
  </si>
  <si>
    <t>0.12 to 0.24</t>
  </si>
  <si>
    <t>0.18 to 0.35</t>
  </si>
  <si>
    <t>1. The maximum allowable superficial velocity calculated from the above factors is for separators normally having a wire mesh mist extractor. This rate should allow all liquid droplets larger than 10 microns to settle out of gas.</t>
  </si>
  <si>
    <t>Oil Gravities</t>
  </si>
  <si>
    <r>
      <t xml:space="preserve">Above 35 </t>
    </r>
    <r>
      <rPr>
        <vertAlign val="superscript"/>
        <sz val="11"/>
        <color theme="1"/>
        <rFont val="Calibri"/>
        <family val="2"/>
        <scheme val="minor"/>
      </rPr>
      <t>o</t>
    </r>
    <r>
      <rPr>
        <sz val="11"/>
        <color theme="1"/>
        <rFont val="Calibri"/>
        <family val="2"/>
        <scheme val="minor"/>
      </rPr>
      <t>API</t>
    </r>
  </si>
  <si>
    <r>
      <t xml:space="preserve">20 to 30 </t>
    </r>
    <r>
      <rPr>
        <vertAlign val="superscript"/>
        <sz val="11"/>
        <color theme="1"/>
        <rFont val="Calibri"/>
        <family val="2"/>
        <scheme val="minor"/>
      </rPr>
      <t>o</t>
    </r>
    <r>
      <rPr>
        <sz val="11"/>
        <color theme="1"/>
        <rFont val="Calibri"/>
        <family val="2"/>
        <scheme val="minor"/>
      </rPr>
      <t>API</t>
    </r>
  </si>
  <si>
    <r>
      <t xml:space="preserve">10 to 20 </t>
    </r>
    <r>
      <rPr>
        <vertAlign val="superscript"/>
        <sz val="11"/>
        <color theme="1"/>
        <rFont val="Calibri"/>
        <family val="2"/>
        <scheme val="minor"/>
      </rPr>
      <t>o</t>
    </r>
    <r>
      <rPr>
        <sz val="11"/>
        <color theme="1"/>
        <rFont val="Calibri"/>
        <family val="2"/>
        <scheme val="minor"/>
      </rPr>
      <t>API</t>
    </r>
  </si>
  <si>
    <t>1 to 2</t>
  </si>
  <si>
    <t>2 to 4</t>
  </si>
  <si>
    <t>Table 1</t>
  </si>
  <si>
    <t>Table 2</t>
  </si>
  <si>
    <t>Refer Table 1</t>
  </si>
  <si>
    <t>H</t>
  </si>
  <si>
    <t>Normal liquid level (assume)</t>
  </si>
  <si>
    <t>Shell height (assume)</t>
  </si>
  <si>
    <t>Retention time (Refer Table 2)</t>
  </si>
  <si>
    <t>2. Additional resource for K factor from GPSA Engineering Data Book:</t>
  </si>
  <si>
    <t>GPSA Notes:</t>
  </si>
  <si>
    <t>Pressure, barg</t>
  </si>
  <si>
    <t>K factor, m/s</t>
  </si>
  <si>
    <t xml:space="preserve">http://en.citizendium.org/wiki/Vapor-liquid_separator </t>
  </si>
  <si>
    <t>Retention time, minutes (Typical)</t>
  </si>
  <si>
    <t>3. Additional resource for retention times from gas Conditioning and Processing, Volume2.</t>
  </si>
  <si>
    <t>Natural gas-oil</t>
  </si>
  <si>
    <t>1 to 3 minutes</t>
  </si>
  <si>
    <t>10 to 15 minutes</t>
  </si>
  <si>
    <t>8 to 15 minutes</t>
  </si>
  <si>
    <t>4 to 7 minutes</t>
  </si>
  <si>
    <t>Lean oil surge tanks</t>
  </si>
  <si>
    <t>Fractionation feed surge tanks</t>
  </si>
  <si>
    <t>Refrigerant surge tanks</t>
  </si>
  <si>
    <t>Refrigerant econonomizers</t>
  </si>
  <si>
    <t>2 to 3 minutes</t>
  </si>
  <si>
    <t>INDEX:</t>
  </si>
  <si>
    <t>0.4 to 0.5</t>
  </si>
  <si>
    <t>Other Lengths</t>
  </si>
  <si>
    <r>
      <t>0.4 to 0.5 x (L/10)</t>
    </r>
    <r>
      <rPr>
        <vertAlign val="superscript"/>
        <sz val="11"/>
        <color theme="1"/>
        <rFont val="Calibri"/>
        <family val="2"/>
        <scheme val="minor"/>
      </rPr>
      <t>0.56</t>
    </r>
  </si>
  <si>
    <t>L</t>
  </si>
  <si>
    <t>Shell Length (assume)</t>
  </si>
  <si>
    <t xml:space="preserve"> </t>
  </si>
  <si>
    <t>Normal Liquid Level</t>
  </si>
  <si>
    <r>
      <t>N</t>
    </r>
    <r>
      <rPr>
        <vertAlign val="subscript"/>
        <sz val="11"/>
        <color theme="1"/>
        <rFont val="Calibri"/>
        <family val="2"/>
      </rPr>
      <t>LL</t>
    </r>
  </si>
  <si>
    <t>in.ft</t>
  </si>
  <si>
    <t>REFERENCES</t>
  </si>
  <si>
    <t>NOTES</t>
  </si>
  <si>
    <t>Typical K factor range, ft/s</t>
  </si>
  <si>
    <t>4. As per GPSA, typical vertical H/D ratios are normally in the 2 to 4 range.</t>
  </si>
  <si>
    <t>1. As per GPSA, typical vertical H/D ratios are normally in the 2 to 4 range.</t>
  </si>
  <si>
    <t>1. As per GPSA, typical horizontal L/D ratios are normally in the 2.5 to 5 range.</t>
  </si>
  <si>
    <t>4. As per GPSA, typical horizontal L/D ratios are normally in the 2.5 to 5 range.</t>
  </si>
  <si>
    <t>API 12J, Specification for oil and gas separators, 1989</t>
  </si>
  <si>
    <r>
      <t>Q</t>
    </r>
    <r>
      <rPr>
        <vertAlign val="subscript"/>
        <sz val="11"/>
        <color theme="1"/>
        <rFont val="Calibri"/>
        <family val="2"/>
      </rPr>
      <t>w</t>
    </r>
  </si>
  <si>
    <t>Water rate</t>
  </si>
  <si>
    <r>
      <t>µ</t>
    </r>
    <r>
      <rPr>
        <vertAlign val="subscript"/>
        <sz val="11"/>
        <color theme="1"/>
        <rFont val="Calibri"/>
        <family val="2"/>
      </rPr>
      <t>o</t>
    </r>
  </si>
  <si>
    <t>Oil viscosity</t>
  </si>
  <si>
    <t>Oil specific gravity</t>
  </si>
  <si>
    <t>Water specific gravity</t>
  </si>
  <si>
    <r>
      <t>t</t>
    </r>
    <r>
      <rPr>
        <vertAlign val="subscript"/>
        <sz val="11"/>
        <color theme="1"/>
        <rFont val="Calibri"/>
        <family val="2"/>
      </rPr>
      <t>o</t>
    </r>
  </si>
  <si>
    <r>
      <t>t</t>
    </r>
    <r>
      <rPr>
        <vertAlign val="subscript"/>
        <sz val="11"/>
        <color theme="1"/>
        <rFont val="Calibri"/>
        <family val="2"/>
      </rPr>
      <t>w</t>
    </r>
  </si>
  <si>
    <t>Smallest water droplet size to be removed</t>
  </si>
  <si>
    <t>Determine minimum diameter for water droplet settling</t>
  </si>
  <si>
    <r>
      <t>D</t>
    </r>
    <r>
      <rPr>
        <vertAlign val="superscript"/>
        <sz val="11"/>
        <color theme="1"/>
        <rFont val="Calibri"/>
        <family val="2"/>
        <scheme val="minor"/>
      </rPr>
      <t>2</t>
    </r>
    <r>
      <rPr>
        <vertAlign val="subscript"/>
        <sz val="11"/>
        <color theme="1"/>
        <rFont val="Calibri"/>
        <family val="2"/>
        <scheme val="minor"/>
      </rPr>
      <t>min</t>
    </r>
  </si>
  <si>
    <r>
      <t>d</t>
    </r>
    <r>
      <rPr>
        <vertAlign val="subscript"/>
        <sz val="11"/>
        <color theme="1"/>
        <rFont val="Calibri"/>
        <family val="2"/>
      </rPr>
      <t>m,w</t>
    </r>
  </si>
  <si>
    <r>
      <t>d</t>
    </r>
    <r>
      <rPr>
        <vertAlign val="subscript"/>
        <sz val="11"/>
        <color theme="1"/>
        <rFont val="Calibri"/>
        <family val="2"/>
      </rPr>
      <t>m,o</t>
    </r>
  </si>
  <si>
    <t>Larger of Step 2 and 3 values</t>
  </si>
  <si>
    <r>
      <t>D</t>
    </r>
    <r>
      <rPr>
        <vertAlign val="superscript"/>
        <sz val="11"/>
        <color theme="1"/>
        <rFont val="Calibri"/>
        <family val="2"/>
        <scheme val="minor"/>
      </rPr>
      <t>2</t>
    </r>
    <r>
      <rPr>
        <sz val="11"/>
        <color theme="1"/>
        <rFont val="Calibri"/>
        <family val="2"/>
        <scheme val="minor"/>
      </rPr>
      <t>(H</t>
    </r>
    <r>
      <rPr>
        <vertAlign val="subscript"/>
        <sz val="11"/>
        <color theme="1"/>
        <rFont val="Calibri"/>
        <family val="2"/>
        <scheme val="minor"/>
      </rPr>
      <t>o</t>
    </r>
    <r>
      <rPr>
        <sz val="11"/>
        <color theme="1"/>
        <rFont val="Calibri"/>
        <family val="2"/>
        <scheme val="minor"/>
      </rPr>
      <t xml:space="preserve"> + H</t>
    </r>
    <r>
      <rPr>
        <vertAlign val="subscript"/>
        <sz val="11"/>
        <color theme="1"/>
        <rFont val="Calibri"/>
        <family val="2"/>
        <scheme val="minor"/>
      </rPr>
      <t>w</t>
    </r>
    <r>
      <rPr>
        <sz val="11"/>
        <color theme="1"/>
        <rFont val="Calibri"/>
        <family val="2"/>
        <scheme val="minor"/>
      </rPr>
      <t>)</t>
    </r>
  </si>
  <si>
    <r>
      <t>in</t>
    </r>
    <r>
      <rPr>
        <vertAlign val="superscript"/>
        <sz val="11"/>
        <color theme="1"/>
        <rFont val="Calibri"/>
        <family val="2"/>
        <scheme val="minor"/>
      </rPr>
      <t>3</t>
    </r>
  </si>
  <si>
    <r>
      <t>H</t>
    </r>
    <r>
      <rPr>
        <vertAlign val="subscript"/>
        <sz val="11"/>
        <color theme="1"/>
        <rFont val="Calibri"/>
        <family val="2"/>
        <scheme val="minor"/>
      </rPr>
      <t>o</t>
    </r>
    <r>
      <rPr>
        <sz val="11"/>
        <color theme="1"/>
        <rFont val="Calibri"/>
        <family val="2"/>
        <scheme val="minor"/>
      </rPr>
      <t xml:space="preserve"> + H</t>
    </r>
    <r>
      <rPr>
        <vertAlign val="subscript"/>
        <sz val="11"/>
        <color theme="1"/>
        <rFont val="Calibri"/>
        <family val="2"/>
        <scheme val="minor"/>
      </rPr>
      <t>w</t>
    </r>
    <r>
      <rPr>
        <sz val="11"/>
        <color theme="1"/>
        <rFont val="Calibri"/>
        <family val="2"/>
        <scheme val="minor"/>
      </rPr>
      <t>, in</t>
    </r>
  </si>
  <si>
    <r>
      <t>SR = 12 L</t>
    </r>
    <r>
      <rPr>
        <vertAlign val="subscript"/>
        <sz val="11"/>
        <color theme="1"/>
        <rFont val="Calibri"/>
        <family val="2"/>
        <scheme val="minor"/>
      </rPr>
      <t>s</t>
    </r>
    <r>
      <rPr>
        <sz val="11"/>
        <color theme="1"/>
        <rFont val="Calibri"/>
        <family val="2"/>
        <scheme val="minor"/>
      </rPr>
      <t xml:space="preserve"> / D</t>
    </r>
  </si>
  <si>
    <r>
      <t>γ</t>
    </r>
    <r>
      <rPr>
        <vertAlign val="subscript"/>
        <sz val="11"/>
        <color theme="1"/>
        <rFont val="Calibri"/>
        <family val="2"/>
      </rPr>
      <t>o</t>
    </r>
  </si>
  <si>
    <r>
      <t>H</t>
    </r>
    <r>
      <rPr>
        <vertAlign val="subscript"/>
        <sz val="11"/>
        <color theme="1"/>
        <rFont val="Calibri"/>
        <family val="2"/>
        <scheme val="minor"/>
      </rPr>
      <t>o,max</t>
    </r>
  </si>
  <si>
    <r>
      <t>A</t>
    </r>
    <r>
      <rPr>
        <vertAlign val="subscript"/>
        <sz val="11"/>
        <color theme="1"/>
        <rFont val="Calibri"/>
        <family val="2"/>
        <scheme val="minor"/>
      </rPr>
      <t>w</t>
    </r>
    <r>
      <rPr>
        <sz val="11"/>
        <color theme="1"/>
        <rFont val="Calibri"/>
        <family val="2"/>
        <scheme val="minor"/>
      </rPr>
      <t xml:space="preserve"> / A</t>
    </r>
  </si>
  <si>
    <r>
      <t>H</t>
    </r>
    <r>
      <rPr>
        <vertAlign val="subscript"/>
        <sz val="11"/>
        <color theme="1"/>
        <rFont val="Calibri"/>
        <family val="2"/>
        <scheme val="minor"/>
      </rPr>
      <t>o</t>
    </r>
    <r>
      <rPr>
        <sz val="11"/>
        <color theme="1"/>
        <rFont val="Calibri"/>
        <family val="2"/>
        <scheme val="minor"/>
      </rPr>
      <t xml:space="preserve"> / D</t>
    </r>
  </si>
  <si>
    <r>
      <t>D</t>
    </r>
    <r>
      <rPr>
        <vertAlign val="subscript"/>
        <sz val="11"/>
        <color theme="1"/>
        <rFont val="Calibri"/>
        <family val="2"/>
        <scheme val="minor"/>
      </rPr>
      <t>max</t>
    </r>
  </si>
  <si>
    <t>Maximum allowable vessel diameter</t>
  </si>
  <si>
    <t>DL</t>
  </si>
  <si>
    <t>L, ft</t>
  </si>
  <si>
    <r>
      <t>Try different combinations of D (smaller than D</t>
    </r>
    <r>
      <rPr>
        <vertAlign val="subscript"/>
        <sz val="11"/>
        <color theme="1"/>
        <rFont val="Calibri"/>
        <family val="2"/>
        <scheme val="minor"/>
      </rPr>
      <t>max</t>
    </r>
    <r>
      <rPr>
        <sz val="11"/>
        <color theme="1"/>
        <rFont val="Calibri"/>
        <family val="2"/>
        <scheme val="minor"/>
      </rPr>
      <t>).</t>
    </r>
  </si>
  <si>
    <t>SR = L / (D/12)</t>
  </si>
  <si>
    <t>Governing case</t>
  </si>
  <si>
    <r>
      <t>in</t>
    </r>
    <r>
      <rPr>
        <vertAlign val="superscript"/>
        <sz val="11"/>
        <color theme="1"/>
        <rFont val="Calibri"/>
        <family val="2"/>
        <scheme val="minor"/>
      </rPr>
      <t>2</t>
    </r>
    <r>
      <rPr>
        <sz val="11"/>
        <color theme="1"/>
        <rFont val="Calibri"/>
        <family val="2"/>
        <scheme val="minor"/>
      </rPr>
      <t>ft</t>
    </r>
  </si>
  <si>
    <t>L (gas), ft</t>
  </si>
  <si>
    <r>
      <t>Q</t>
    </r>
    <r>
      <rPr>
        <vertAlign val="subscript"/>
        <sz val="11"/>
        <color theme="1"/>
        <rFont val="Calibri"/>
        <family val="2"/>
        <scheme val="minor"/>
      </rPr>
      <t>g</t>
    </r>
  </si>
  <si>
    <t>d</t>
  </si>
  <si>
    <t>vessel internal diameter, in.</t>
  </si>
  <si>
    <t>bubble or drop diameter, μm</t>
  </si>
  <si>
    <t>vessel diameter, ft</t>
  </si>
  <si>
    <t>h</t>
  </si>
  <si>
    <t>liquid height, in.</t>
  </si>
  <si>
    <t>gas-phase space height, in.</t>
  </si>
  <si>
    <t>oil pad height, in.</t>
  </si>
  <si>
    <t>water pad height, in.</t>
  </si>
  <si>
    <t>effective length of the vessel where separation occurs, ft</t>
  </si>
  <si>
    <t>seam-to-seam vessel length, ft</t>
  </si>
  <si>
    <t>operating pressure, psia</t>
  </si>
  <si>
    <t>Reynolds number</t>
  </si>
  <si>
    <t>operating temperature, °R</t>
  </si>
  <si>
    <t>gas compressibility</t>
  </si>
  <si>
    <t>continuous phase dynamic viscosity, cp</t>
  </si>
  <si>
    <t>ρ</t>
  </si>
  <si>
    <t>drag coefficient</t>
  </si>
  <si>
    <t>water dynamic viscosity, cP</t>
  </si>
  <si>
    <r>
      <t xml:space="preserve">density, </t>
    </r>
    <r>
      <rPr>
        <sz val="11"/>
        <color theme="1"/>
        <rFont val="Calibri"/>
        <family val="2"/>
        <scheme val="minor"/>
      </rPr>
      <t>lbm/ft</t>
    </r>
    <r>
      <rPr>
        <vertAlign val="superscript"/>
        <sz val="11"/>
        <color theme="1"/>
        <rFont val="Calibri"/>
        <family val="2"/>
        <scheme val="minor"/>
      </rPr>
      <t>3</t>
    </r>
  </si>
  <si>
    <r>
      <t xml:space="preserve">gas density, </t>
    </r>
    <r>
      <rPr>
        <sz val="11"/>
        <color theme="1"/>
        <rFont val="Calibri"/>
        <family val="2"/>
        <scheme val="minor"/>
      </rPr>
      <t>lbm/ft</t>
    </r>
    <r>
      <rPr>
        <vertAlign val="superscript"/>
        <sz val="11"/>
        <color theme="1"/>
        <rFont val="Calibri"/>
        <family val="2"/>
        <scheme val="minor"/>
      </rPr>
      <t>3</t>
    </r>
  </si>
  <si>
    <r>
      <t xml:space="preserve">liquid density, </t>
    </r>
    <r>
      <rPr>
        <sz val="11"/>
        <color theme="1"/>
        <rFont val="Calibri"/>
        <family val="2"/>
        <scheme val="minor"/>
      </rPr>
      <t>lbm/ft</t>
    </r>
    <r>
      <rPr>
        <vertAlign val="superscript"/>
        <sz val="11"/>
        <color theme="1"/>
        <rFont val="Calibri"/>
        <family val="2"/>
        <scheme val="minor"/>
      </rPr>
      <t>3</t>
    </r>
  </si>
  <si>
    <r>
      <t xml:space="preserve">oil density, </t>
    </r>
    <r>
      <rPr>
        <sz val="11"/>
        <color theme="1"/>
        <rFont val="Calibri"/>
        <family val="2"/>
        <scheme val="minor"/>
      </rPr>
      <t>lbm/ft</t>
    </r>
    <r>
      <rPr>
        <vertAlign val="superscript"/>
        <sz val="11"/>
        <color theme="1"/>
        <rFont val="Calibri"/>
        <family val="2"/>
        <scheme val="minor"/>
      </rPr>
      <t>3</t>
    </r>
  </si>
  <si>
    <r>
      <t xml:space="preserve">water density, </t>
    </r>
    <r>
      <rPr>
        <sz val="11"/>
        <color theme="1"/>
        <rFont val="Calibri"/>
        <family val="2"/>
        <scheme val="minor"/>
      </rPr>
      <t>lbm/ft</t>
    </r>
    <r>
      <rPr>
        <vertAlign val="superscript"/>
        <sz val="11"/>
        <color theme="1"/>
        <rFont val="Calibri"/>
        <family val="2"/>
        <scheme val="minor"/>
      </rPr>
      <t>3</t>
    </r>
  </si>
  <si>
    <t>Nomenclature</t>
  </si>
  <si>
    <t>A</t>
  </si>
  <si>
    <r>
      <t>A</t>
    </r>
    <r>
      <rPr>
        <vertAlign val="subscript"/>
        <sz val="11"/>
        <color theme="1"/>
        <rFont val="Calibri"/>
        <family val="2"/>
        <scheme val="minor"/>
      </rPr>
      <t>w</t>
    </r>
  </si>
  <si>
    <r>
      <t>A</t>
    </r>
    <r>
      <rPr>
        <vertAlign val="subscript"/>
        <sz val="11"/>
        <color theme="1"/>
        <rFont val="Calibri"/>
        <family val="2"/>
        <scheme val="minor"/>
      </rPr>
      <t>o</t>
    </r>
  </si>
  <si>
    <t>total cross sectional area of the separator.</t>
  </si>
  <si>
    <r>
      <t>cross sectional area of the separator occupied by water, ft</t>
    </r>
    <r>
      <rPr>
        <vertAlign val="superscript"/>
        <sz val="11"/>
        <color theme="1"/>
        <rFont val="Calibri"/>
        <family val="2"/>
        <scheme val="minor"/>
      </rPr>
      <t>2</t>
    </r>
  </si>
  <si>
    <r>
      <t>cross sectional area of the separator occupied by oil, ft</t>
    </r>
    <r>
      <rPr>
        <vertAlign val="superscript"/>
        <sz val="11"/>
        <color theme="1"/>
        <rFont val="Calibri"/>
        <family val="2"/>
        <scheme val="minor"/>
      </rPr>
      <t>2</t>
    </r>
  </si>
  <si>
    <r>
      <t>A</t>
    </r>
    <r>
      <rPr>
        <vertAlign val="subscript"/>
        <sz val="11"/>
        <color theme="1"/>
        <rFont val="Calibri"/>
        <family val="2"/>
        <scheme val="minor"/>
      </rPr>
      <t>o</t>
    </r>
    <r>
      <rPr>
        <sz val="11"/>
        <color theme="1"/>
        <rFont val="Calibri"/>
        <family val="2"/>
        <scheme val="minor"/>
      </rPr>
      <t xml:space="preserve"> + A</t>
    </r>
    <r>
      <rPr>
        <vertAlign val="subscript"/>
        <sz val="11"/>
        <color theme="1"/>
        <rFont val="Calibri"/>
        <family val="2"/>
        <scheme val="minor"/>
      </rPr>
      <t>w</t>
    </r>
    <r>
      <rPr>
        <sz val="11"/>
        <color theme="1"/>
        <rFont val="Calibri"/>
        <family val="2"/>
        <scheme val="minor"/>
      </rPr>
      <t xml:space="preserve"> = N</t>
    </r>
    <r>
      <rPr>
        <vertAlign val="subscript"/>
        <sz val="11"/>
        <color theme="1"/>
        <rFont val="Calibri"/>
        <family val="2"/>
        <scheme val="minor"/>
      </rPr>
      <t>LL</t>
    </r>
    <r>
      <rPr>
        <sz val="11"/>
        <color theme="1"/>
        <rFont val="Calibri"/>
        <family val="2"/>
        <scheme val="minor"/>
      </rPr>
      <t xml:space="preserve"> * A</t>
    </r>
  </si>
  <si>
    <t>Normal liquid level due to oil and water</t>
  </si>
  <si>
    <t>Three Phase (Gas - Oil - Water) Horizontal Separator: As per "Petroleum and Gas Field Processing - Hussein K. Abdel-Aal, Mohamed Aggour, M. A. Fahim"</t>
  </si>
  <si>
    <t>http://www.cheresources.com/invision/topic/17158-three-phase-separator-design-suggestion-needed/</t>
  </si>
  <si>
    <t>http://books.google.com.qa/books?id=BZOPlA-SmMUC&amp;pg=PA97&amp;lpg=PA97&amp;dq=%22three+phase%22+separator+L/D+ratio+%22GPSA%22&amp;source=bl&amp;ots=u979BoWCxd&amp;sig=p13fCbqS52y7bE3eGRDtfj7nGq0&amp;hl=en&amp;sa=X&amp;ei=s9dMVJHiHKvcywO4tIK4BQ&amp;redir_esc=y#v=onepage&amp;q=%22three%20phase%22%20separator%20L%2FD%20ratio%20%22GPSA%22&amp;f=false</t>
  </si>
  <si>
    <t>Three Phase (Gas - Oil - Water) Vertical Separator: As per "Petroleum and Gas Field Processing - Hussein K. Abdel-Aal, Mohamed Aggour, M. A. Fahim"</t>
  </si>
  <si>
    <t>Step 5:</t>
  </si>
  <si>
    <t>http://www.eng-tips.com/faqs.cfm?fid=1153</t>
  </si>
  <si>
    <t xml:space="preserve">http://www.chemicalforums.com/index.php?topic=8913.0 </t>
  </si>
  <si>
    <t xml:space="preserve">http://www.chemicalforums.com/index.php?topic=9252.0 </t>
  </si>
  <si>
    <t xml:space="preserve">http://www.cheresources.com/invision/topic/41-sizing-a-flash-tank-or-vapor-liquid-separator/ </t>
  </si>
  <si>
    <t>Two Phase (Gas - Oil) Vertical Separator: As per "Petroleum and Gas Field Processing - Hussein K. Abdel-Aal, Mohamed Aggour, M. A. Fahim"</t>
  </si>
  <si>
    <t>Two Phase (Gas - Oil) Horizontal Separator: As per API 12J</t>
  </si>
  <si>
    <t>Two Phase (Gas - Oil) Horizontal Separator: As per "Petroleum and Gas Field Processing - Hussein K. Abdel-Aal, Mohamed Aggour, M. A. Fahim"</t>
  </si>
  <si>
    <t>3 to 5</t>
  </si>
  <si>
    <r>
      <t xml:space="preserve">Below 35 </t>
    </r>
    <r>
      <rPr>
        <vertAlign val="superscript"/>
        <sz val="11"/>
        <color theme="1"/>
        <rFont val="Calibri"/>
        <family val="2"/>
        <scheme val="minor"/>
      </rPr>
      <t>o</t>
    </r>
    <r>
      <rPr>
        <sz val="11"/>
        <color theme="1"/>
        <rFont val="Calibri"/>
        <family val="2"/>
        <scheme val="minor"/>
      </rPr>
      <t>API</t>
    </r>
  </si>
  <si>
    <t>5 to 10</t>
  </si>
  <si>
    <r>
      <t xml:space="preserve">100+ </t>
    </r>
    <r>
      <rPr>
        <vertAlign val="superscript"/>
        <sz val="11"/>
        <color theme="1"/>
        <rFont val="Calibri"/>
        <family val="2"/>
        <scheme val="minor"/>
      </rPr>
      <t>o</t>
    </r>
    <r>
      <rPr>
        <sz val="11"/>
        <color theme="1"/>
        <rFont val="Calibri"/>
        <family val="2"/>
        <scheme val="minor"/>
      </rPr>
      <t>F</t>
    </r>
  </si>
  <si>
    <r>
      <t xml:space="preserve">80+ </t>
    </r>
    <r>
      <rPr>
        <vertAlign val="superscript"/>
        <sz val="11"/>
        <color theme="1"/>
        <rFont val="Calibri"/>
        <family val="2"/>
        <scheme val="minor"/>
      </rPr>
      <t>o</t>
    </r>
    <r>
      <rPr>
        <sz val="11"/>
        <color theme="1"/>
        <rFont val="Calibri"/>
        <family val="2"/>
        <scheme val="minor"/>
      </rPr>
      <t>F</t>
    </r>
  </si>
  <si>
    <r>
      <t xml:space="preserve">60+ </t>
    </r>
    <r>
      <rPr>
        <vertAlign val="superscript"/>
        <sz val="11"/>
        <color theme="1"/>
        <rFont val="Calibri"/>
        <family val="2"/>
        <scheme val="minor"/>
      </rPr>
      <t>o</t>
    </r>
    <r>
      <rPr>
        <sz val="11"/>
        <color theme="1"/>
        <rFont val="Calibri"/>
        <family val="2"/>
        <scheme val="minor"/>
      </rPr>
      <t>F</t>
    </r>
  </si>
  <si>
    <t>10 to 20</t>
  </si>
  <si>
    <t>20 to 30</t>
  </si>
  <si>
    <t>SCHEMATIC</t>
  </si>
  <si>
    <t>MW</t>
  </si>
  <si>
    <t>lb/lbmole</t>
  </si>
  <si>
    <t>Molecular weight</t>
  </si>
  <si>
    <r>
      <t>D</t>
    </r>
    <r>
      <rPr>
        <vertAlign val="subscript"/>
        <sz val="11"/>
        <rFont val="Calibri"/>
        <family val="2"/>
        <scheme val="minor"/>
      </rPr>
      <t>min</t>
    </r>
  </si>
  <si>
    <r>
      <t>A</t>
    </r>
    <r>
      <rPr>
        <vertAlign val="subscript"/>
        <sz val="11"/>
        <rFont val="Calibri"/>
        <family val="2"/>
        <scheme val="minor"/>
      </rPr>
      <t>g,min</t>
    </r>
  </si>
  <si>
    <r>
      <t>ft</t>
    </r>
    <r>
      <rPr>
        <vertAlign val="superscript"/>
        <sz val="11"/>
        <rFont val="Calibri"/>
        <family val="2"/>
        <scheme val="minor"/>
      </rPr>
      <t>2</t>
    </r>
  </si>
  <si>
    <t>2. For glycol or amine solutions, multiply above K values by 0.6 - 0.8</t>
  </si>
  <si>
    <t>3. Typically use one-half of the above K values for approximate sizing of vertical separators without mesh pads</t>
  </si>
  <si>
    <t>1. K = 0.107 at a gauge pressure of 7 bar. Subtract 0.003 for every 7 bar above a gauge pressure of 7 bar.</t>
  </si>
  <si>
    <t>4. For compressor suction scrubbers and expander inlet separators, multiply K by 0.7 - 0.8</t>
  </si>
  <si>
    <r>
      <t>2. If D&gt;30", L</t>
    </r>
    <r>
      <rPr>
        <vertAlign val="subscript"/>
        <sz val="11"/>
        <color theme="1"/>
        <rFont val="Calibri"/>
        <family val="2"/>
        <scheme val="minor"/>
      </rPr>
      <t>s</t>
    </r>
    <r>
      <rPr>
        <sz val="11"/>
        <color theme="1"/>
        <rFont val="Calibri"/>
        <family val="2"/>
        <scheme val="minor"/>
      </rPr>
      <t xml:space="preserve"> = 2.5 + L</t>
    </r>
    <r>
      <rPr>
        <vertAlign val="subscript"/>
        <sz val="11"/>
        <color theme="1"/>
        <rFont val="Calibri"/>
        <family val="2"/>
        <scheme val="minor"/>
      </rPr>
      <t>o</t>
    </r>
    <r>
      <rPr>
        <sz val="11"/>
        <color theme="1"/>
        <rFont val="Calibri"/>
        <family val="2"/>
        <scheme val="minor"/>
      </rPr>
      <t>;
     Else, L</t>
    </r>
    <r>
      <rPr>
        <vertAlign val="subscript"/>
        <sz val="11"/>
        <color theme="1"/>
        <rFont val="Calibri"/>
        <family val="2"/>
        <scheme val="minor"/>
      </rPr>
      <t>s</t>
    </r>
    <r>
      <rPr>
        <sz val="11"/>
        <color theme="1"/>
        <rFont val="Calibri"/>
        <family val="2"/>
        <scheme val="minor"/>
      </rPr>
      <t xml:space="preserve"> = (4/3)*L</t>
    </r>
    <r>
      <rPr>
        <vertAlign val="subscript"/>
        <sz val="11"/>
        <color theme="1"/>
        <rFont val="Calibri"/>
        <family val="2"/>
        <scheme val="minor"/>
      </rPr>
      <t>o</t>
    </r>
    <r>
      <rPr>
        <sz val="11"/>
        <color theme="1"/>
        <rFont val="Calibri"/>
        <family val="2"/>
        <scheme val="minor"/>
      </rPr>
      <t xml:space="preserve">
     Ref. http://process-designs.com/separators_and_scrubbers/separators_and_scrubbers.jsp</t>
    </r>
  </si>
  <si>
    <t>Next larger and appropriate size</t>
  </si>
  <si>
    <t>Three Phase (Gas - Oil) Horizontal Separator: As per API 12J</t>
  </si>
  <si>
    <t>Oil retention time (Refer Table 2)</t>
  </si>
  <si>
    <t>Water retention time (Refer Table 2)</t>
  </si>
  <si>
    <t>Petroleum and Gas Field Processing - Hussein K. Abdel-Aal, Mohamed Aggour, M. A. Fahim</t>
  </si>
  <si>
    <t>Three Phase (Gas - Oil - Water) Horizontal Separator: As per API 12J</t>
  </si>
  <si>
    <t xml:space="preserve">http://process-designs.com/ </t>
  </si>
  <si>
    <t>Yellow boxes are input boxes.</t>
  </si>
  <si>
    <r>
      <t>ρ'</t>
    </r>
    <r>
      <rPr>
        <vertAlign val="subscript"/>
        <sz val="11"/>
        <color theme="1"/>
        <rFont val="Calibri"/>
        <family val="2"/>
      </rPr>
      <t>o</t>
    </r>
  </si>
  <si>
    <t>T'</t>
  </si>
  <si>
    <t>mesh capacity factor, ft/sec</t>
  </si>
  <si>
    <r>
      <t>D</t>
    </r>
    <r>
      <rPr>
        <b/>
        <vertAlign val="subscript"/>
        <sz val="11"/>
        <color theme="1"/>
        <rFont val="Calibri"/>
        <family val="2"/>
        <scheme val="minor"/>
      </rPr>
      <t>selected</t>
    </r>
  </si>
  <si>
    <r>
      <t>C</t>
    </r>
    <r>
      <rPr>
        <vertAlign val="subscript"/>
        <sz val="11"/>
        <color theme="1"/>
        <rFont val="Calibri"/>
        <family val="2"/>
        <scheme val="minor"/>
      </rPr>
      <t>D</t>
    </r>
  </si>
  <si>
    <r>
      <t>d</t>
    </r>
    <r>
      <rPr>
        <vertAlign val="subscript"/>
        <sz val="11"/>
        <color theme="1"/>
        <rFont val="Calibri"/>
        <family val="2"/>
        <scheme val="minor"/>
      </rPr>
      <t>m</t>
    </r>
  </si>
  <si>
    <r>
      <t>h</t>
    </r>
    <r>
      <rPr>
        <vertAlign val="subscript"/>
        <sz val="11"/>
        <color theme="1"/>
        <rFont val="Calibri"/>
        <family val="2"/>
        <scheme val="minor"/>
      </rPr>
      <t>g</t>
    </r>
  </si>
  <si>
    <r>
      <t>h</t>
    </r>
    <r>
      <rPr>
        <vertAlign val="subscript"/>
        <sz val="11"/>
        <color theme="1"/>
        <rFont val="Calibri"/>
        <family val="2"/>
        <scheme val="minor"/>
      </rPr>
      <t>o</t>
    </r>
  </si>
  <si>
    <r>
      <t>h</t>
    </r>
    <r>
      <rPr>
        <vertAlign val="subscript"/>
        <sz val="11"/>
        <color theme="1"/>
        <rFont val="Calibri"/>
        <family val="2"/>
        <scheme val="minor"/>
      </rPr>
      <t>w</t>
    </r>
  </si>
  <si>
    <r>
      <t>L</t>
    </r>
    <r>
      <rPr>
        <vertAlign val="subscript"/>
        <sz val="11"/>
        <color theme="1"/>
        <rFont val="Calibri"/>
        <family val="2"/>
        <scheme val="minor"/>
      </rPr>
      <t>eff</t>
    </r>
    <r>
      <rPr>
        <sz val="11"/>
        <color theme="1"/>
        <rFont val="Calibri"/>
        <family val="2"/>
        <scheme val="minor"/>
      </rPr>
      <t xml:space="preserve"> or L</t>
    </r>
  </si>
  <si>
    <r>
      <t>L</t>
    </r>
    <r>
      <rPr>
        <vertAlign val="subscript"/>
        <sz val="11"/>
        <color theme="1"/>
        <rFont val="Calibri"/>
        <family val="2"/>
        <scheme val="minor"/>
      </rPr>
      <t xml:space="preserve">ss </t>
    </r>
    <r>
      <rPr>
        <sz val="11"/>
        <color theme="1"/>
        <rFont val="Calibri"/>
        <family val="2"/>
        <scheme val="minor"/>
      </rPr>
      <t>or L</t>
    </r>
    <r>
      <rPr>
        <vertAlign val="subscript"/>
        <sz val="11"/>
        <color theme="1"/>
        <rFont val="Calibri"/>
        <family val="2"/>
        <scheme val="minor"/>
      </rPr>
      <t>s</t>
    </r>
  </si>
  <si>
    <r>
      <t>Q</t>
    </r>
    <r>
      <rPr>
        <vertAlign val="subscript"/>
        <sz val="11"/>
        <color theme="1"/>
        <rFont val="Calibri"/>
        <family val="2"/>
        <scheme val="minor"/>
      </rPr>
      <t>c</t>
    </r>
  </si>
  <si>
    <r>
      <t>Q</t>
    </r>
    <r>
      <rPr>
        <vertAlign val="subscript"/>
        <sz val="11"/>
        <color theme="1"/>
        <rFont val="Calibri"/>
        <family val="2"/>
        <scheme val="minor"/>
      </rPr>
      <t>o</t>
    </r>
  </si>
  <si>
    <r>
      <t>W or Q</t>
    </r>
    <r>
      <rPr>
        <vertAlign val="subscript"/>
        <sz val="11"/>
        <color theme="1"/>
        <rFont val="Calibri"/>
        <family val="2"/>
        <scheme val="minor"/>
      </rPr>
      <t>w</t>
    </r>
  </si>
  <si>
    <r>
      <t>μ</t>
    </r>
    <r>
      <rPr>
        <vertAlign val="subscript"/>
        <sz val="11"/>
        <color theme="1"/>
        <rFont val="Calibri"/>
        <family val="2"/>
        <scheme val="minor"/>
      </rPr>
      <t>c</t>
    </r>
  </si>
  <si>
    <r>
      <t>μ</t>
    </r>
    <r>
      <rPr>
        <vertAlign val="subscript"/>
        <sz val="11"/>
        <color theme="1"/>
        <rFont val="Calibri"/>
        <family val="2"/>
        <scheme val="minor"/>
      </rPr>
      <t>w</t>
    </r>
  </si>
  <si>
    <r>
      <t>ρ</t>
    </r>
    <r>
      <rPr>
        <vertAlign val="subscript"/>
        <sz val="11"/>
        <color theme="1"/>
        <rFont val="Calibri"/>
        <family val="2"/>
        <scheme val="minor"/>
      </rPr>
      <t>g</t>
    </r>
  </si>
  <si>
    <r>
      <t>ρ</t>
    </r>
    <r>
      <rPr>
        <vertAlign val="subscript"/>
        <sz val="11"/>
        <color theme="1"/>
        <rFont val="Calibri"/>
        <family val="2"/>
        <scheme val="minor"/>
      </rPr>
      <t>l</t>
    </r>
  </si>
  <si>
    <r>
      <t>ρ</t>
    </r>
    <r>
      <rPr>
        <vertAlign val="subscript"/>
        <sz val="11"/>
        <color theme="1"/>
        <rFont val="Calibri"/>
        <family val="2"/>
        <scheme val="minor"/>
      </rPr>
      <t>o</t>
    </r>
  </si>
  <si>
    <r>
      <t>ρ</t>
    </r>
    <r>
      <rPr>
        <vertAlign val="subscript"/>
        <sz val="11"/>
        <color theme="1"/>
        <rFont val="Calibri"/>
        <family val="2"/>
        <scheme val="minor"/>
      </rPr>
      <t>w</t>
    </r>
  </si>
  <si>
    <t>liquid settling volume</t>
  </si>
  <si>
    <t>max. allowable velocity through secondary separation section</t>
  </si>
  <si>
    <t>continuous liquid-phase flow rate, bbl/day</t>
  </si>
  <si>
    <t>oil flow rate, bbl/day</t>
  </si>
  <si>
    <t>water flow rate, bbl/day</t>
  </si>
  <si>
    <r>
      <t>A</t>
    </r>
    <r>
      <rPr>
        <vertAlign val="subscript"/>
        <sz val="11"/>
        <color theme="1"/>
        <rFont val="Calibri"/>
        <family val="2"/>
        <scheme val="minor"/>
      </rPr>
      <t>g</t>
    </r>
  </si>
  <si>
    <r>
      <t>cross sectional area of the separator occupied by gas, ft</t>
    </r>
    <r>
      <rPr>
        <vertAlign val="superscript"/>
        <sz val="11"/>
        <color theme="1"/>
        <rFont val="Calibri"/>
        <family val="2"/>
        <scheme val="minor"/>
      </rPr>
      <t>2</t>
    </r>
  </si>
  <si>
    <r>
      <t>gas flow rate, MMSCFD or ft</t>
    </r>
    <r>
      <rPr>
        <vertAlign val="superscript"/>
        <sz val="11"/>
        <color theme="1"/>
        <rFont val="Calibri"/>
        <family val="2"/>
        <scheme val="minor"/>
      </rPr>
      <t>3</t>
    </r>
    <r>
      <rPr>
        <sz val="11"/>
        <color theme="1"/>
        <rFont val="Calibri"/>
        <family val="2"/>
        <scheme val="minor"/>
      </rPr>
      <t>/s</t>
    </r>
  </si>
  <si>
    <r>
      <t>N</t>
    </r>
    <r>
      <rPr>
        <vertAlign val="subscript"/>
        <sz val="11"/>
        <color theme="1"/>
        <rFont val="Calibri"/>
        <family val="2"/>
        <scheme val="minor"/>
      </rPr>
      <t>LL</t>
    </r>
  </si>
  <si>
    <t>normal liquid level, %</t>
  </si>
  <si>
    <t>Shell height</t>
  </si>
  <si>
    <t>2. For glycol or amine solutions, multiply above K values by 0.6 - 0.8.</t>
  </si>
  <si>
    <t>4. For compressor suction scrubbers and expander inlet separators, multiply K by 0.7 - 0.8.</t>
  </si>
  <si>
    <t>3. Typically use one-half of the above K values for approximate sizing of vertical separators without mesh pads.</t>
  </si>
  <si>
    <t>3. Additional resource for retention times from gas Conditioning and Processing, Volume 2.</t>
  </si>
  <si>
    <t>H / D</t>
  </si>
  <si>
    <t>unitless</t>
  </si>
  <si>
    <t>Refer Note 4</t>
  </si>
  <si>
    <t>Two Phase (Gas - Oil) Vertical separator: As per API 12J</t>
  </si>
  <si>
    <r>
      <t>γ</t>
    </r>
    <r>
      <rPr>
        <vertAlign val="subscript"/>
        <sz val="11"/>
        <color theme="1"/>
        <rFont val="Calibri"/>
        <family val="2"/>
      </rPr>
      <t>w</t>
    </r>
  </si>
  <si>
    <t>Effective length of 
the separator</t>
  </si>
  <si>
    <t>16 in x 5 ft</t>
  </si>
  <si>
    <t>16 in x 7½ ft</t>
  </si>
  <si>
    <t>16 in x 10 ft</t>
  </si>
  <si>
    <t>20 in x 5 ft</t>
  </si>
  <si>
    <t>20 in x 7½ ft</t>
  </si>
  <si>
    <t>20 in x 10 ft</t>
  </si>
  <si>
    <t>24 in x 5 ft</t>
  </si>
  <si>
    <t>24 in x 7½ ft</t>
  </si>
  <si>
    <t>24 in x 10 ft</t>
  </si>
  <si>
    <t>30 in x 5 ft</t>
  </si>
  <si>
    <t>30 in x 7½ ft</t>
  </si>
  <si>
    <t>30 in x 10 ft</t>
  </si>
  <si>
    <t>36 in x 5 ft</t>
  </si>
  <si>
    <t>36 in x 7½ ft</t>
  </si>
  <si>
    <t>36 in x 10 ft</t>
  </si>
  <si>
    <t>36 in x 15 ft</t>
  </si>
  <si>
    <t>42 in x 7½ ft</t>
  </si>
  <si>
    <t>42 in x 10 ft</t>
  </si>
  <si>
    <t>42 in x 15 ft</t>
  </si>
  <si>
    <t>48 in x 7½ ft</t>
  </si>
  <si>
    <t>48 in x 10 ft</t>
  </si>
  <si>
    <t>48 in x 15 ft</t>
  </si>
  <si>
    <t>54 in x 7½ ft</t>
  </si>
  <si>
    <t>54 in x 10 ft</t>
  </si>
  <si>
    <t>54 in x 15 ft</t>
  </si>
  <si>
    <t>60 in x 7½ ft</t>
  </si>
  <si>
    <t>60 in x 10 ft</t>
  </si>
  <si>
    <t>60 in x 15 ft</t>
  </si>
  <si>
    <t>STANDARD SEPARATOR SIZES AS PER API</t>
  </si>
  <si>
    <t>12¾ in x  5 ft</t>
  </si>
  <si>
    <t>12¾ in x  7½ ft</t>
  </si>
  <si>
    <t>12¾ in x  10 ft</t>
  </si>
  <si>
    <t>D [in] x H or L [ft]</t>
  </si>
  <si>
    <r>
      <t>Use goal seek to get error zero, by changing asssumed H</t>
    </r>
    <r>
      <rPr>
        <vertAlign val="subscript"/>
        <sz val="11"/>
        <color theme="1"/>
        <rFont val="Calibri"/>
        <family val="2"/>
        <scheme val="minor"/>
      </rPr>
      <t>o</t>
    </r>
    <r>
      <rPr>
        <sz val="11"/>
        <color theme="1"/>
        <rFont val="Calibri"/>
        <family val="2"/>
        <scheme val="minor"/>
      </rPr>
      <t>/D</t>
    </r>
  </si>
  <si>
    <r>
      <t>D</t>
    </r>
    <r>
      <rPr>
        <b/>
        <vertAlign val="subscript"/>
        <sz val="11"/>
        <rFont val="Calibri"/>
        <family val="2"/>
        <scheme val="minor"/>
      </rPr>
      <t>selected</t>
    </r>
  </si>
  <si>
    <t>Shell length</t>
  </si>
  <si>
    <r>
      <t>Next larger (than D</t>
    </r>
    <r>
      <rPr>
        <b/>
        <vertAlign val="subscript"/>
        <sz val="11"/>
        <rFont val="Calibri"/>
        <family val="2"/>
        <scheme val="minor"/>
      </rPr>
      <t>min</t>
    </r>
    <r>
      <rPr>
        <b/>
        <sz val="11"/>
        <rFont val="Calibri"/>
        <family val="2"/>
        <scheme val="minor"/>
      </rPr>
      <t>) and appropriate size</t>
    </r>
  </si>
  <si>
    <r>
      <t>L</t>
    </r>
    <r>
      <rPr>
        <b/>
        <vertAlign val="subscript"/>
        <sz val="11"/>
        <color theme="1"/>
        <rFont val="Calibri"/>
        <family val="2"/>
        <scheme val="minor"/>
      </rPr>
      <t>s</t>
    </r>
  </si>
  <si>
    <t>4. As per GPSA, typical horizontal H/D ratios are normally in the 2 to 4 range.</t>
  </si>
  <si>
    <t>Inlet Nozzle</t>
  </si>
  <si>
    <t>No Internal</t>
  </si>
  <si>
    <t>Half open pipe</t>
  </si>
  <si>
    <t>Liquid outlet Nozzle</t>
  </si>
  <si>
    <t>Maximum velocity, 1 m/s</t>
  </si>
  <si>
    <t>Momentum or Velocity Limit</t>
  </si>
  <si>
    <r>
      <t>ρ</t>
    </r>
    <r>
      <rPr>
        <vertAlign val="subscript"/>
        <sz val="11"/>
        <color theme="1"/>
        <rFont val="Calibri"/>
        <family val="2"/>
        <scheme val="minor"/>
      </rPr>
      <t>m</t>
    </r>
  </si>
  <si>
    <r>
      <t>mean density of mixture, kg/m</t>
    </r>
    <r>
      <rPr>
        <vertAlign val="superscript"/>
        <sz val="11"/>
        <color theme="1"/>
        <rFont val="Calibri"/>
        <family val="2"/>
        <scheme val="minor"/>
      </rPr>
      <t>3</t>
    </r>
  </si>
  <si>
    <r>
      <t>V</t>
    </r>
    <r>
      <rPr>
        <vertAlign val="subscript"/>
        <sz val="11"/>
        <color theme="1"/>
        <rFont val="Calibri"/>
        <family val="2"/>
        <scheme val="minor"/>
      </rPr>
      <t>m</t>
    </r>
  </si>
  <si>
    <t>velocity of the mixture, m/s</t>
  </si>
  <si>
    <t>Schoepentoeter used as inlet device</t>
  </si>
  <si>
    <t>Gas outlet Nozzle</t>
  </si>
  <si>
    <r>
      <t xml:space="preserve">Max. Momentum, </t>
    </r>
    <r>
      <rPr>
        <sz val="11"/>
        <color theme="1"/>
        <rFont val="Calibri"/>
        <family val="2"/>
      </rPr>
      <t>ρ</t>
    </r>
    <r>
      <rPr>
        <vertAlign val="subscript"/>
        <sz val="11"/>
        <color theme="1"/>
        <rFont val="Calibri"/>
        <family val="2"/>
      </rPr>
      <t>m</t>
    </r>
    <r>
      <rPr>
        <sz val="11"/>
        <color theme="1"/>
        <rFont val="Calibri"/>
        <family val="2"/>
      </rPr>
      <t xml:space="preserve"> V</t>
    </r>
    <r>
      <rPr>
        <vertAlign val="superscript"/>
        <sz val="11"/>
        <color theme="1"/>
        <rFont val="Calibri"/>
        <family val="2"/>
      </rPr>
      <t>2</t>
    </r>
    <r>
      <rPr>
        <vertAlign val="subscript"/>
        <sz val="11"/>
        <color theme="1"/>
        <rFont val="Calibri"/>
        <family val="2"/>
      </rPr>
      <t>m</t>
    </r>
    <r>
      <rPr>
        <sz val="11"/>
        <color theme="1"/>
        <rFont val="Calibri"/>
        <family val="2"/>
      </rPr>
      <t xml:space="preserve"> ≤ 1400 Pa</t>
    </r>
  </si>
  <si>
    <r>
      <t xml:space="preserve">Max. Momentum, </t>
    </r>
    <r>
      <rPr>
        <sz val="11"/>
        <color theme="1"/>
        <rFont val="Calibri"/>
        <family val="2"/>
      </rPr>
      <t>ρ</t>
    </r>
    <r>
      <rPr>
        <vertAlign val="subscript"/>
        <sz val="11"/>
        <color theme="1"/>
        <rFont val="Calibri"/>
        <family val="2"/>
      </rPr>
      <t>m</t>
    </r>
    <r>
      <rPr>
        <sz val="11"/>
        <color theme="1"/>
        <rFont val="Calibri"/>
        <family val="2"/>
      </rPr>
      <t xml:space="preserve"> V</t>
    </r>
    <r>
      <rPr>
        <vertAlign val="superscript"/>
        <sz val="11"/>
        <color theme="1"/>
        <rFont val="Calibri"/>
        <family val="2"/>
      </rPr>
      <t>2</t>
    </r>
    <r>
      <rPr>
        <vertAlign val="subscript"/>
        <sz val="11"/>
        <color theme="1"/>
        <rFont val="Calibri"/>
        <family val="2"/>
      </rPr>
      <t>m</t>
    </r>
    <r>
      <rPr>
        <sz val="11"/>
        <color theme="1"/>
        <rFont val="Calibri"/>
        <family val="2"/>
      </rPr>
      <t xml:space="preserve"> ≤ 2100 Pa</t>
    </r>
  </si>
  <si>
    <r>
      <t xml:space="preserve">Max. Momentum, </t>
    </r>
    <r>
      <rPr>
        <sz val="11"/>
        <color theme="1"/>
        <rFont val="Calibri"/>
        <family val="2"/>
      </rPr>
      <t>ρ</t>
    </r>
    <r>
      <rPr>
        <vertAlign val="subscript"/>
        <sz val="11"/>
        <color theme="1"/>
        <rFont val="Calibri"/>
        <family val="2"/>
      </rPr>
      <t>m</t>
    </r>
    <r>
      <rPr>
        <sz val="11"/>
        <color theme="1"/>
        <rFont val="Calibri"/>
        <family val="2"/>
      </rPr>
      <t xml:space="preserve"> V</t>
    </r>
    <r>
      <rPr>
        <vertAlign val="superscript"/>
        <sz val="11"/>
        <color theme="1"/>
        <rFont val="Calibri"/>
        <family val="2"/>
      </rPr>
      <t>2</t>
    </r>
    <r>
      <rPr>
        <vertAlign val="subscript"/>
        <sz val="11"/>
        <color theme="1"/>
        <rFont val="Calibri"/>
        <family val="2"/>
      </rPr>
      <t>m</t>
    </r>
    <r>
      <rPr>
        <sz val="11"/>
        <color theme="1"/>
        <rFont val="Calibri"/>
        <family val="2"/>
      </rPr>
      <t xml:space="preserve"> ≤ 8000 Pa</t>
    </r>
  </si>
  <si>
    <r>
      <t xml:space="preserve">Max. Momentum, </t>
    </r>
    <r>
      <rPr>
        <sz val="11"/>
        <color theme="1"/>
        <rFont val="Calibri"/>
        <family val="2"/>
      </rPr>
      <t>ρ</t>
    </r>
    <r>
      <rPr>
        <vertAlign val="subscript"/>
        <sz val="11"/>
        <color theme="1"/>
        <rFont val="Calibri"/>
        <family val="2"/>
      </rPr>
      <t>g</t>
    </r>
    <r>
      <rPr>
        <sz val="11"/>
        <color theme="1"/>
        <rFont val="Calibri"/>
        <family val="2"/>
      </rPr>
      <t xml:space="preserve"> V</t>
    </r>
    <r>
      <rPr>
        <vertAlign val="superscript"/>
        <sz val="11"/>
        <color theme="1"/>
        <rFont val="Calibri"/>
        <family val="2"/>
      </rPr>
      <t>2</t>
    </r>
    <r>
      <rPr>
        <vertAlign val="subscript"/>
        <sz val="11"/>
        <color theme="1"/>
        <rFont val="Calibri"/>
        <family val="2"/>
      </rPr>
      <t>g,out</t>
    </r>
    <r>
      <rPr>
        <sz val="11"/>
        <color theme="1"/>
        <rFont val="Calibri"/>
        <family val="2"/>
      </rPr>
      <t xml:space="preserve"> ≤ 4500 Pa</t>
    </r>
  </si>
  <si>
    <t>Selection guideline for separator types</t>
  </si>
  <si>
    <t>System Characteristics</t>
  </si>
  <si>
    <t>Type of Separator</t>
  </si>
  <si>
    <t>Large vapour, less liquid Load (by volume)</t>
  </si>
  <si>
    <t>Vertical</t>
  </si>
  <si>
    <t>Large liquid, less vapour Load (by volume)</t>
  </si>
  <si>
    <t>Horizontal</t>
  </si>
  <si>
    <t>Large vapour, large liquid Load (by volume)</t>
  </si>
  <si>
    <t>Liquid-liquid separation</t>
  </si>
  <si>
    <t>Liquid-solid separation</t>
  </si>
  <si>
    <t>Level setting in the separator</t>
  </si>
  <si>
    <t>Level type</t>
  </si>
  <si>
    <t>Level setting</t>
  </si>
  <si>
    <t>Level Alarm High High (LAHH)</t>
  </si>
  <si>
    <t>30 – 60 seconds or 200 mm whichever is greater</t>
  </si>
  <si>
    <t>Level Alarm High (LAH)</t>
  </si>
  <si>
    <t>Normal Alarm Level (NAL)</t>
  </si>
  <si>
    <t>60% of horizontal separator</t>
  </si>
  <si>
    <t>Level Alarm Low (LAL)</t>
  </si>
  <si>
    <t>Level Alarm Low Low (LALL)</t>
  </si>
  <si>
    <t>30 – 60 seconds or 200 mm whichever is greater Should be at least 200 mm above the vessel bottom or maximum interface level</t>
  </si>
  <si>
    <t>Separator type</t>
  </si>
  <si>
    <t>K factor (m/s)</t>
  </si>
  <si>
    <t>Horizontal (with vertical pad)</t>
  </si>
  <si>
    <t>0.122 to 0.152</t>
  </si>
  <si>
    <t>Spherical</t>
  </si>
  <si>
    <t>0.061 to 0.107</t>
  </si>
  <si>
    <t>Vertical or horizontal (with horizontal pad)</t>
  </si>
  <si>
    <t>At atmospheric pressure</t>
  </si>
  <si>
    <t>At 2100 kPa</t>
  </si>
  <si>
    <t>At 4100 kPa</t>
  </si>
  <si>
    <t>At 6200 kPa</t>
  </si>
  <si>
    <t>At 10300 kPa</t>
  </si>
  <si>
    <t>0.055 to 0.107</t>
  </si>
  <si>
    <t>Wet steam</t>
  </si>
  <si>
    <t>Most vapours under vacuum</t>
  </si>
  <si>
    <t>Salt and caustic evaporators</t>
  </si>
  <si>
    <t>Typical K factors for the sizing of wire mesh demisters (Source: IPS-E-PR-880, 1997)</t>
  </si>
  <si>
    <t>3. For compressor suction scrubbers and expander inlet separators, multiply K by 0.7 - 0.8</t>
  </si>
  <si>
    <t>DISCUSSION</t>
  </si>
  <si>
    <t>http://www.razifar.com/cariboost_files/Design_20Two_20Phase_20Separators_20Within_20the_20Right_20Limits.pdf</t>
  </si>
  <si>
    <t>http://en.wikipedia.org/wiki/Souders%E2%80%93Brown_equation</t>
  </si>
  <si>
    <t>NOMENCLATURE</t>
  </si>
  <si>
    <t>TABLE 1</t>
  </si>
  <si>
    <t>Retention time (Refer Table 1)</t>
  </si>
  <si>
    <t>L / D</t>
  </si>
  <si>
    <t>Seam to seam length (select from Table 1)</t>
  </si>
  <si>
    <t>Slenderness ratio (typical value 3 to 5)  (select from Table 1)</t>
  </si>
  <si>
    <t>Separator diameter (select from Table 1)</t>
  </si>
  <si>
    <t>Seam to seam length (select from table 1)</t>
  </si>
  <si>
    <t>Slenderness ratio (typical value 1.5 to 3)  (select from Table 1)</t>
  </si>
  <si>
    <t>TABLE 2 (Ref. API 12J)</t>
  </si>
  <si>
    <t>Discussion</t>
  </si>
  <si>
    <t>References</t>
  </si>
  <si>
    <t>Standard Separator Sizes as per API</t>
  </si>
  <si>
    <t>5A</t>
  </si>
  <si>
    <t>5B</t>
  </si>
  <si>
    <t>5C</t>
  </si>
  <si>
    <t>5D</t>
  </si>
  <si>
    <t>6A</t>
  </si>
  <si>
    <t>6B</t>
  </si>
  <si>
    <t>6C</t>
  </si>
  <si>
    <t>6D</t>
  </si>
  <si>
    <t>This spreadsheet provides an easy and simple approach to (2/3 phase and vertical/horizontal) separator sizing. Formulae and references are also provided for process engineers to edit/duplicate this work (file is NOT password protected).</t>
  </si>
  <si>
    <t>3. For compressor suction scrubbers and expander inlet separators, multiply K by 0.7 - 0.8.</t>
  </si>
  <si>
    <t>Length, ft</t>
  </si>
  <si>
    <t>http://books.google.com.qa/books?id=lpA83iVcaGYC&amp;pg=PA159&amp;lpg=PA159&amp;dq=Kh+%3D+1.25+Kv+separator&amp;source=bl&amp;ots=fV8ewKHkag&amp;sig=q70X8-xfxPnk9MBMHgaEFwLhIhU&amp;hl=en&amp;sa=X&amp;ei=M-NVVPepM4XWPfaLgYAI&amp;redir_esc=y#v=onepage&amp;q=Kh%20%3D%201.25%20Kv%20separator&amp;f=false</t>
  </si>
  <si>
    <t>Slenderness ratio (typical value 3 to 4)  (select from Table 1)</t>
  </si>
  <si>
    <t>There is as much art as there is science to properly design a separator. Three main factors should be considered in separator sizing:                                                                                                                                            1) vapor capacity, 2) Liquid capacity, and 3) operability.                                                                                          The vapor capacity will determine the cross-sectional area necessary for gravitational forces to remove the liquid from the vapor.                                                                                                                                     The liquid capacity is typically set by determining the volume required to provide adequate residence time to “de-gas” the liquid or allow immiscible liquid phases to separate.                   Operability issues include the separator’s ability to deal with solids if present, unsteady flow/liquid slugs, turndown, etc. Finally, the optimal design will usually result in an aspect ratio that satisfies these requirements in a vessel of reasonable cost. These factors often result in an iterative approach to the calculations.</t>
  </si>
  <si>
    <t>Two sets of calculations are carried out here.                                                                                                                    1. Separators with Mist Extractors and                                                                                                                               2. Separators without Mist Extractors</t>
  </si>
  <si>
    <t>IPS-E-PR-880, 1997</t>
  </si>
  <si>
    <t>Pressure, psig</t>
  </si>
  <si>
    <t>% of Design value</t>
  </si>
  <si>
    <t>Adjustment of K factor for pressure</t>
  </si>
  <si>
    <t>Atm.</t>
  </si>
  <si>
    <t>Separator sizing with mist extractor</t>
  </si>
  <si>
    <t>Two Phase (Gas - Oil) Vertical Separator as per API 12J</t>
  </si>
  <si>
    <t>Two Phase (Gas - Oil) Horizontal Separator as per API 12J</t>
  </si>
  <si>
    <t>Three Phase (Gas - Oil - Water) Vertical Separator as per API 12J</t>
  </si>
  <si>
    <t>Three Phase (Gas - Oil - Water) Horizontal Separator as per API 12J</t>
  </si>
  <si>
    <t>Separator sizing without mist extractor</t>
  </si>
  <si>
    <t>Two Phase (Gas - Oil) Vertical Separator As per Petroleum and Gas Field Processing</t>
  </si>
  <si>
    <t>Two Phase (Gas - Oil) Horizontal Separator as per Petroleum and Gas Field Processing</t>
  </si>
  <si>
    <t>Three Phase (Gas - Oil - Water) Vertical Separator as per Petroleum and Gas Field Processing</t>
  </si>
  <si>
    <t>Three Phase (Gas - Oil - Water) Horizontal Separator as per Petroleum and Gas Field Processing</t>
  </si>
  <si>
    <t>Momentum &amp; Velocity criteria for nozzles (Source: DEP 31.22.05.12 - Gen.- 2008)</t>
  </si>
  <si>
    <t>INDEX</t>
  </si>
  <si>
    <t>Several useful guidelines for separator design are provided below;</t>
  </si>
  <si>
    <r>
      <t>L</t>
    </r>
    <r>
      <rPr>
        <b/>
        <vertAlign val="subscript"/>
        <sz val="11"/>
        <color theme="1"/>
        <rFont val="Calibri"/>
        <family val="2"/>
        <scheme val="minor"/>
      </rPr>
      <t>s</t>
    </r>
    <r>
      <rPr>
        <b/>
        <sz val="11"/>
        <color theme="1"/>
        <rFont val="Calibri"/>
        <family val="2"/>
        <scheme val="minor"/>
      </rPr>
      <t>, ft</t>
    </r>
  </si>
  <si>
    <r>
      <t>L</t>
    </r>
    <r>
      <rPr>
        <b/>
        <vertAlign val="subscript"/>
        <sz val="11"/>
        <rFont val="Calibri"/>
        <family val="2"/>
        <scheme val="minor"/>
      </rPr>
      <t>g</t>
    </r>
    <r>
      <rPr>
        <b/>
        <sz val="11"/>
        <rFont val="Calibri"/>
        <family val="2"/>
        <scheme val="minor"/>
      </rPr>
      <t>, ft</t>
    </r>
  </si>
  <si>
    <r>
      <t>L</t>
    </r>
    <r>
      <rPr>
        <b/>
        <vertAlign val="subscript"/>
        <sz val="11"/>
        <rFont val="Calibri"/>
        <family val="2"/>
        <scheme val="minor"/>
      </rPr>
      <t>s</t>
    </r>
    <r>
      <rPr>
        <b/>
        <sz val="11"/>
        <rFont val="Calibri"/>
        <family val="2"/>
        <scheme val="minor"/>
      </rPr>
      <t>, ft (gas)</t>
    </r>
  </si>
  <si>
    <r>
      <t>L</t>
    </r>
    <r>
      <rPr>
        <b/>
        <vertAlign val="subscript"/>
        <sz val="11"/>
        <rFont val="Calibri"/>
        <family val="2"/>
        <scheme val="minor"/>
      </rPr>
      <t>o</t>
    </r>
    <r>
      <rPr>
        <b/>
        <sz val="11"/>
        <rFont val="Calibri"/>
        <family val="2"/>
        <scheme val="minor"/>
      </rPr>
      <t>, ft</t>
    </r>
  </si>
  <si>
    <r>
      <t>L</t>
    </r>
    <r>
      <rPr>
        <b/>
        <vertAlign val="subscript"/>
        <sz val="11"/>
        <rFont val="Calibri"/>
        <family val="2"/>
        <scheme val="minor"/>
      </rPr>
      <t>s</t>
    </r>
    <r>
      <rPr>
        <b/>
        <sz val="11"/>
        <rFont val="Calibri"/>
        <family val="2"/>
        <scheme val="minor"/>
      </rPr>
      <t>, ft (oil)</t>
    </r>
  </si>
  <si>
    <r>
      <t>SR = 12 l</t>
    </r>
    <r>
      <rPr>
        <b/>
        <vertAlign val="subscript"/>
        <sz val="11"/>
        <rFont val="Calibri"/>
        <family val="2"/>
        <scheme val="minor"/>
      </rPr>
      <t>s</t>
    </r>
    <r>
      <rPr>
        <b/>
        <sz val="11"/>
        <rFont val="Calibri"/>
        <family val="2"/>
        <scheme val="minor"/>
      </rPr>
      <t xml:space="preserve"> (oil or gas)/D</t>
    </r>
  </si>
  <si>
    <r>
      <t>L</t>
    </r>
    <r>
      <rPr>
        <b/>
        <vertAlign val="subscript"/>
        <sz val="11"/>
        <color theme="1"/>
        <rFont val="Calibri"/>
        <family val="2"/>
        <scheme val="minor"/>
      </rPr>
      <t>s (gas)</t>
    </r>
    <r>
      <rPr>
        <b/>
        <sz val="11"/>
        <color theme="1"/>
        <rFont val="Calibri"/>
        <family val="2"/>
        <scheme val="minor"/>
      </rPr>
      <t>= L + D/12,  ft</t>
    </r>
  </si>
  <si>
    <r>
      <t>L</t>
    </r>
    <r>
      <rPr>
        <b/>
        <vertAlign val="subscript"/>
        <sz val="11"/>
        <color theme="1"/>
        <rFont val="Calibri"/>
        <family val="2"/>
        <scheme val="minor"/>
      </rPr>
      <t>s (liquid)</t>
    </r>
    <r>
      <rPr>
        <b/>
        <sz val="11"/>
        <color theme="1"/>
        <rFont val="Calibri"/>
        <family val="2"/>
        <scheme val="minor"/>
      </rPr>
      <t>= 4 L/3,  ft</t>
    </r>
  </si>
  <si>
    <t>Prepared by:</t>
  </si>
  <si>
    <t>Ajay S. Satpute</t>
  </si>
  <si>
    <t>Sr. Process Engineer</t>
  </si>
  <si>
    <t>Ramboll Oil &amp; Gas, Qatar</t>
  </si>
  <si>
    <t>GPSA - Engineering Data Book (12th Ed)</t>
  </si>
  <si>
    <r>
      <t>Use goal seek to get error zero, by changing asssumed D</t>
    </r>
    <r>
      <rPr>
        <vertAlign val="subscript"/>
        <sz val="11"/>
        <color theme="1"/>
        <rFont val="Calibri"/>
        <family val="2"/>
        <scheme val="minor"/>
      </rPr>
      <t>min</t>
    </r>
  </si>
</sst>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0"/>
    <numFmt numFmtId="165" formatCode="0.000"/>
  </numFmts>
  <fonts count="60" x14ac:knownFonts="1">
    <font>
      <sz val="11"/>
      <color theme="1"/>
      <name val="Calibri"/>
      <family val="2"/>
      <scheme val="minor"/>
    </font>
    <font>
      <sz val="11"/>
      <color rgb="FFFF0000"/>
      <name val="Calibri"/>
      <family val="2"/>
      <scheme val="minor"/>
    </font>
    <font>
      <b/>
      <sz val="11"/>
      <color theme="1"/>
      <name val="Calibri"/>
      <family val="2"/>
      <scheme val="minor"/>
    </font>
    <font>
      <sz val="11"/>
      <color theme="1"/>
      <name val="Calibri"/>
      <family val="2"/>
    </font>
    <font>
      <vertAlign val="subscript"/>
      <sz val="11"/>
      <color theme="1"/>
      <name val="Calibri"/>
      <family val="2"/>
    </font>
    <font>
      <vertAlign val="subscript"/>
      <sz val="11"/>
      <color theme="1"/>
      <name val="Calibri"/>
      <family val="2"/>
      <scheme val="minor"/>
    </font>
    <font>
      <vertAlign val="superscript"/>
      <sz val="11"/>
      <color theme="1"/>
      <name val="Calibri"/>
      <family val="2"/>
      <scheme val="minor"/>
    </font>
    <font>
      <u/>
      <sz val="11"/>
      <color theme="10"/>
      <name val="Calibri"/>
      <family val="2"/>
      <scheme val="minor"/>
    </font>
    <font>
      <b/>
      <u/>
      <sz val="11"/>
      <color theme="1"/>
      <name val="Calibri"/>
      <family val="2"/>
      <scheme val="minor"/>
    </font>
    <font>
      <b/>
      <sz val="9"/>
      <color indexed="81"/>
      <name val="Tahoma"/>
      <family val="2"/>
    </font>
    <font>
      <u/>
      <sz val="11"/>
      <color theme="1"/>
      <name val="Calibri"/>
      <family val="2"/>
      <scheme val="minor"/>
    </font>
    <font>
      <sz val="11"/>
      <name val="Calibri"/>
      <family val="2"/>
      <scheme val="minor"/>
    </font>
    <font>
      <sz val="9"/>
      <color indexed="81"/>
      <name val="Tahoma"/>
      <family val="2"/>
    </font>
    <font>
      <b/>
      <u/>
      <sz val="16"/>
      <color theme="1"/>
      <name val="Calibri"/>
      <family val="2"/>
      <scheme val="minor"/>
    </font>
    <font>
      <vertAlign val="subscript"/>
      <sz val="11"/>
      <name val="Calibri"/>
      <family val="2"/>
      <scheme val="minor"/>
    </font>
    <font>
      <i/>
      <sz val="11"/>
      <color theme="1"/>
      <name val="Calibri"/>
      <family val="2"/>
      <scheme val="minor"/>
    </font>
    <font>
      <b/>
      <sz val="11"/>
      <name val="Calibri"/>
      <family val="2"/>
      <scheme val="minor"/>
    </font>
    <font>
      <vertAlign val="superscript"/>
      <sz val="11"/>
      <name val="Calibri"/>
      <family val="2"/>
      <scheme val="minor"/>
    </font>
    <font>
      <b/>
      <u/>
      <sz val="16"/>
      <name val="Calibri"/>
      <family val="2"/>
      <scheme val="minor"/>
    </font>
    <font>
      <b/>
      <vertAlign val="subscript"/>
      <sz val="11"/>
      <color theme="1"/>
      <name val="Calibri"/>
      <family val="2"/>
      <scheme val="minor"/>
    </font>
    <font>
      <b/>
      <sz val="12"/>
      <color theme="1"/>
      <name val="Calibri"/>
      <family val="2"/>
      <scheme val="minor"/>
    </font>
    <font>
      <b/>
      <vertAlign val="subscript"/>
      <sz val="11"/>
      <name val="Calibri"/>
      <family val="2"/>
      <scheme val="minor"/>
    </font>
    <font>
      <vertAlign val="superscript"/>
      <sz val="11"/>
      <color theme="1"/>
      <name val="Calibri"/>
      <family val="2"/>
    </font>
    <font>
      <b/>
      <u/>
      <sz val="1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sz val="10"/>
      <name val="MS Sans Serif"/>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u/>
      <sz val="11"/>
      <color theme="10"/>
      <name val="Calibri"/>
      <family val="2"/>
      <scheme val="minor"/>
    </font>
  </fonts>
  <fills count="6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00B050"/>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3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94">
    <xf numFmtId="0" fontId="0" fillId="0" borderId="0"/>
    <xf numFmtId="0" fontId="7" fillId="0" borderId="0" applyNumberFormat="0" applyFill="0" applyBorder="0" applyAlignment="0" applyProtection="0"/>
    <xf numFmtId="0" fontId="25" fillId="0" borderId="0" applyNumberFormat="0" applyFill="0" applyBorder="0" applyAlignment="0" applyProtection="0"/>
    <xf numFmtId="0" fontId="26" fillId="0" borderId="16" applyNumberFormat="0" applyFill="0" applyAlignment="0" applyProtection="0"/>
    <xf numFmtId="0" fontId="27" fillId="0" borderId="17" applyNumberFormat="0" applyFill="0" applyAlignment="0" applyProtection="0"/>
    <xf numFmtId="0" fontId="28" fillId="0" borderId="18" applyNumberFormat="0" applyFill="0" applyAlignment="0" applyProtection="0"/>
    <xf numFmtId="0" fontId="28" fillId="0" borderId="0" applyNumberFormat="0" applyFill="0" applyBorder="0" applyAlignment="0" applyProtection="0"/>
    <xf numFmtId="0" fontId="29" fillId="9" borderId="0" applyNumberFormat="0" applyBorder="0" applyAlignment="0" applyProtection="0"/>
    <xf numFmtId="0" fontId="30" fillId="10" borderId="0" applyNumberFormat="0" applyBorder="0" applyAlignment="0" applyProtection="0"/>
    <xf numFmtId="0" fontId="31" fillId="11" borderId="0" applyNumberFormat="0" applyBorder="0" applyAlignment="0" applyProtection="0"/>
    <xf numFmtId="0" fontId="32" fillId="12" borderId="19" applyNumberFormat="0" applyAlignment="0" applyProtection="0"/>
    <xf numFmtId="0" fontId="33" fillId="13" borderId="20" applyNumberFormat="0" applyAlignment="0" applyProtection="0"/>
    <xf numFmtId="0" fontId="34" fillId="13" borderId="19" applyNumberFormat="0" applyAlignment="0" applyProtection="0"/>
    <xf numFmtId="0" fontId="35" fillId="0" borderId="21" applyNumberFormat="0" applyFill="0" applyAlignment="0" applyProtection="0"/>
    <xf numFmtId="0" fontId="36" fillId="14" borderId="22" applyNumberFormat="0" applyAlignment="0" applyProtection="0"/>
    <xf numFmtId="0" fontId="1" fillId="0" borderId="0" applyNumberFormat="0" applyFill="0" applyBorder="0" applyAlignment="0" applyProtection="0"/>
    <xf numFmtId="0" fontId="24" fillId="15" borderId="23" applyNumberFormat="0" applyFont="0" applyAlignment="0" applyProtection="0"/>
    <xf numFmtId="0" fontId="37" fillId="0" borderId="0" applyNumberFormat="0" applyFill="0" applyBorder="0" applyAlignment="0" applyProtection="0"/>
    <xf numFmtId="0" fontId="2" fillId="0" borderId="24" applyNumberFormat="0" applyFill="0" applyAlignment="0" applyProtection="0"/>
    <xf numFmtId="0" fontId="38"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38" fillId="19" borderId="0" applyNumberFormat="0" applyBorder="0" applyAlignment="0" applyProtection="0"/>
    <xf numFmtId="0" fontId="38"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38" fillId="23" borderId="0" applyNumberFormat="0" applyBorder="0" applyAlignment="0" applyProtection="0"/>
    <xf numFmtId="0" fontId="38" fillId="24" borderId="0" applyNumberFormat="0" applyBorder="0" applyAlignment="0" applyProtection="0"/>
    <xf numFmtId="0" fontId="24" fillId="25" borderId="0" applyNumberFormat="0" applyBorder="0" applyAlignment="0" applyProtection="0"/>
    <xf numFmtId="0" fontId="24" fillId="26" borderId="0" applyNumberFormat="0" applyBorder="0" applyAlignment="0" applyProtection="0"/>
    <xf numFmtId="0" fontId="38" fillId="27" borderId="0" applyNumberFormat="0" applyBorder="0" applyAlignment="0" applyProtection="0"/>
    <xf numFmtId="0" fontId="38" fillId="28" borderId="0" applyNumberFormat="0" applyBorder="0" applyAlignment="0" applyProtection="0"/>
    <xf numFmtId="0" fontId="24" fillId="29" borderId="0" applyNumberFormat="0" applyBorder="0" applyAlignment="0" applyProtection="0"/>
    <xf numFmtId="0" fontId="24" fillId="30" borderId="0" applyNumberFormat="0" applyBorder="0" applyAlignment="0" applyProtection="0"/>
    <xf numFmtId="0" fontId="38" fillId="31" borderId="0" applyNumberFormat="0" applyBorder="0" applyAlignment="0" applyProtection="0"/>
    <xf numFmtId="0" fontId="38" fillId="32" borderId="0" applyNumberFormat="0" applyBorder="0" applyAlignment="0" applyProtection="0"/>
    <xf numFmtId="0" fontId="24" fillId="33" borderId="0" applyNumberFormat="0" applyBorder="0" applyAlignment="0" applyProtection="0"/>
    <xf numFmtId="0" fontId="24" fillId="34" borderId="0" applyNumberFormat="0" applyBorder="0" applyAlignment="0" applyProtection="0"/>
    <xf numFmtId="0" fontId="38" fillId="35" borderId="0" applyNumberFormat="0" applyBorder="0" applyAlignment="0" applyProtection="0"/>
    <xf numFmtId="0" fontId="38" fillId="36" borderId="0" applyNumberFormat="0" applyBorder="0" applyAlignment="0" applyProtection="0"/>
    <xf numFmtId="0" fontId="24" fillId="37" borderId="0" applyNumberFormat="0" applyBorder="0" applyAlignment="0" applyProtection="0"/>
    <xf numFmtId="0" fontId="24" fillId="38" borderId="0" applyNumberFormat="0" applyBorder="0" applyAlignment="0" applyProtection="0"/>
    <xf numFmtId="0" fontId="38" fillId="39" borderId="0" applyNumberFormat="0" applyBorder="0" applyAlignment="0" applyProtection="0"/>
    <xf numFmtId="0" fontId="39" fillId="0" borderId="0"/>
    <xf numFmtId="0" fontId="40" fillId="40" borderId="0" applyNumberFormat="0" applyBorder="0" applyAlignment="0" applyProtection="0"/>
    <xf numFmtId="0" fontId="40" fillId="41" borderId="0" applyNumberFormat="0" applyBorder="0" applyAlignment="0" applyProtection="0"/>
    <xf numFmtId="0" fontId="40" fillId="42" borderId="0" applyNumberFormat="0" applyBorder="0" applyAlignment="0" applyProtection="0"/>
    <xf numFmtId="0" fontId="40" fillId="43" borderId="0" applyNumberFormat="0" applyBorder="0" applyAlignment="0" applyProtection="0"/>
    <xf numFmtId="0" fontId="40" fillId="44" borderId="0" applyNumberFormat="0" applyBorder="0" applyAlignment="0" applyProtection="0"/>
    <xf numFmtId="0" fontId="40" fillId="45" borderId="0" applyNumberFormat="0" applyBorder="0" applyAlignment="0" applyProtection="0"/>
    <xf numFmtId="0" fontId="40" fillId="46" borderId="0" applyNumberFormat="0" applyBorder="0" applyAlignment="0" applyProtection="0"/>
    <xf numFmtId="0" fontId="40" fillId="47" borderId="0" applyNumberFormat="0" applyBorder="0" applyAlignment="0" applyProtection="0"/>
    <xf numFmtId="0" fontId="40" fillId="48" borderId="0" applyNumberFormat="0" applyBorder="0" applyAlignment="0" applyProtection="0"/>
    <xf numFmtId="0" fontId="40" fillId="43" borderId="0" applyNumberFormat="0" applyBorder="0" applyAlignment="0" applyProtection="0"/>
    <xf numFmtId="0" fontId="40" fillId="46" borderId="0" applyNumberFormat="0" applyBorder="0" applyAlignment="0" applyProtection="0"/>
    <xf numFmtId="0" fontId="40" fillId="49" borderId="0" applyNumberFormat="0" applyBorder="0" applyAlignment="0" applyProtection="0"/>
    <xf numFmtId="0" fontId="41" fillId="50" borderId="0" applyNumberFormat="0" applyBorder="0" applyAlignment="0" applyProtection="0"/>
    <xf numFmtId="0" fontId="41" fillId="47" borderId="0" applyNumberFormat="0" applyBorder="0" applyAlignment="0" applyProtection="0"/>
    <xf numFmtId="0" fontId="41" fillId="48" borderId="0" applyNumberFormat="0" applyBorder="0" applyAlignment="0" applyProtection="0"/>
    <xf numFmtId="0" fontId="41" fillId="51" borderId="0" applyNumberFormat="0" applyBorder="0" applyAlignment="0" applyProtection="0"/>
    <xf numFmtId="0" fontId="41" fillId="52" borderId="0" applyNumberFormat="0" applyBorder="0" applyAlignment="0" applyProtection="0"/>
    <xf numFmtId="0" fontId="41" fillId="53" borderId="0" applyNumberFormat="0" applyBorder="0" applyAlignment="0" applyProtection="0"/>
    <xf numFmtId="0" fontId="41" fillId="54" borderId="0" applyNumberFormat="0" applyBorder="0" applyAlignment="0" applyProtection="0"/>
    <xf numFmtId="0" fontId="41" fillId="55" borderId="0" applyNumberFormat="0" applyBorder="0" applyAlignment="0" applyProtection="0"/>
    <xf numFmtId="0" fontId="41" fillId="56" borderId="0" applyNumberFormat="0" applyBorder="0" applyAlignment="0" applyProtection="0"/>
    <xf numFmtId="0" fontId="41" fillId="51" borderId="0" applyNumberFormat="0" applyBorder="0" applyAlignment="0" applyProtection="0"/>
    <xf numFmtId="0" fontId="41" fillId="52" borderId="0" applyNumberFormat="0" applyBorder="0" applyAlignment="0" applyProtection="0"/>
    <xf numFmtId="0" fontId="41" fillId="57" borderId="0" applyNumberFormat="0" applyBorder="0" applyAlignment="0" applyProtection="0"/>
    <xf numFmtId="0" fontId="42" fillId="41" borderId="0" applyNumberFormat="0" applyBorder="0" applyAlignment="0" applyProtection="0"/>
    <xf numFmtId="0" fontId="43" fillId="58" borderId="25" applyNumberFormat="0" applyAlignment="0" applyProtection="0"/>
    <xf numFmtId="0" fontId="44" fillId="59" borderId="26" applyNumberFormat="0" applyAlignment="0" applyProtection="0"/>
    <xf numFmtId="43" fontId="39" fillId="0" borderId="0" applyFont="0" applyFill="0" applyBorder="0" applyAlignment="0" applyProtection="0"/>
    <xf numFmtId="0" fontId="45" fillId="0" borderId="0" applyNumberFormat="0" applyFill="0" applyBorder="0" applyAlignment="0" applyProtection="0"/>
    <xf numFmtId="0" fontId="46" fillId="42" borderId="0" applyNumberFormat="0" applyBorder="0" applyAlignment="0" applyProtection="0"/>
    <xf numFmtId="0" fontId="47" fillId="0" borderId="27" applyNumberFormat="0" applyFill="0" applyAlignment="0" applyProtection="0"/>
    <xf numFmtId="0" fontId="48" fillId="0" borderId="28" applyNumberFormat="0" applyFill="0" applyAlignment="0" applyProtection="0"/>
    <xf numFmtId="0" fontId="49" fillId="0" borderId="29" applyNumberFormat="0" applyFill="0" applyAlignment="0" applyProtection="0"/>
    <xf numFmtId="0" fontId="49" fillId="0" borderId="0" applyNumberFormat="0" applyFill="0" applyBorder="0" applyAlignment="0" applyProtection="0"/>
    <xf numFmtId="0" fontId="50" fillId="0" borderId="0" applyNumberFormat="0" applyFill="0" applyBorder="0" applyAlignment="0" applyProtection="0">
      <alignment vertical="top"/>
      <protection locked="0"/>
    </xf>
    <xf numFmtId="0" fontId="51" fillId="45" borderId="25" applyNumberFormat="0" applyAlignment="0" applyProtection="0"/>
    <xf numFmtId="0" fontId="52" fillId="0" borderId="30" applyNumberFormat="0" applyFill="0" applyAlignment="0" applyProtection="0"/>
    <xf numFmtId="0" fontId="53" fillId="60" borderId="0" applyNumberFormat="0" applyBorder="0" applyAlignment="0" applyProtection="0"/>
    <xf numFmtId="0" fontId="39" fillId="0" borderId="0"/>
    <xf numFmtId="0" fontId="39" fillId="0" borderId="0"/>
    <xf numFmtId="0" fontId="39" fillId="0" borderId="0"/>
    <xf numFmtId="0" fontId="39" fillId="0" borderId="0"/>
    <xf numFmtId="0" fontId="39" fillId="0" borderId="0"/>
    <xf numFmtId="0" fontId="39" fillId="0" borderId="0"/>
    <xf numFmtId="0" fontId="54" fillId="61" borderId="31" applyNumberFormat="0" applyFont="0" applyAlignment="0" applyProtection="0"/>
    <xf numFmtId="0" fontId="55" fillId="58" borderId="32" applyNumberFormat="0" applyAlignment="0" applyProtection="0"/>
    <xf numFmtId="9" fontId="39" fillId="0" borderId="0" applyFont="0" applyFill="0" applyBorder="0" applyAlignment="0" applyProtection="0"/>
    <xf numFmtId="0" fontId="56" fillId="0" borderId="0" applyNumberFormat="0" applyFill="0" applyBorder="0" applyAlignment="0" applyProtection="0"/>
    <xf numFmtId="0" fontId="57" fillId="0" borderId="33" applyNumberFormat="0" applyFill="0" applyAlignment="0" applyProtection="0"/>
    <xf numFmtId="0" fontId="58" fillId="0" borderId="0" applyNumberFormat="0" applyFill="0" applyBorder="0" applyAlignment="0" applyProtection="0"/>
  </cellStyleXfs>
  <cellXfs count="329">
    <xf numFmtId="0" fontId="0" fillId="0" borderId="0" xfId="0"/>
    <xf numFmtId="0" fontId="0" fillId="2" borderId="0" xfId="0" applyFill="1"/>
    <xf numFmtId="0" fontId="0" fillId="2" borderId="1" xfId="0" applyFill="1" applyBorder="1"/>
    <xf numFmtId="1" fontId="0" fillId="2" borderId="1" xfId="0" applyNumberFormat="1" applyFill="1" applyBorder="1"/>
    <xf numFmtId="164" fontId="0" fillId="2" borderId="1" xfId="0" applyNumberFormat="1" applyFill="1" applyBorder="1"/>
    <xf numFmtId="0" fontId="0" fillId="2" borderId="0" xfId="0" applyFill="1" applyAlignment="1">
      <alignment vertical="center" wrapText="1"/>
    </xf>
    <xf numFmtId="2" fontId="0" fillId="2" borderId="1" xfId="0" applyNumberFormat="1" applyFill="1" applyBorder="1"/>
    <xf numFmtId="0" fontId="3" fillId="2" borderId="1" xfId="0" applyFont="1"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0" xfId="0" applyFill="1" applyBorder="1"/>
    <xf numFmtId="0" fontId="0" fillId="2" borderId="2" xfId="0" applyFill="1" applyBorder="1"/>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2" borderId="0" xfId="0" applyFill="1" applyAlignment="1">
      <alignment vertical="center"/>
    </xf>
    <xf numFmtId="0" fontId="3" fillId="2" borderId="1" xfId="0" applyFont="1" applyFill="1" applyBorder="1" applyAlignment="1">
      <alignment vertical="center"/>
    </xf>
    <xf numFmtId="0" fontId="0" fillId="2" borderId="1" xfId="0" applyFill="1" applyBorder="1" applyAlignment="1">
      <alignment vertical="center"/>
    </xf>
    <xf numFmtId="2" fontId="0" fillId="2" borderId="1" xfId="0" applyNumberFormat="1" applyFill="1" applyBorder="1" applyAlignment="1">
      <alignment vertical="center"/>
    </xf>
    <xf numFmtId="1" fontId="0" fillId="2" borderId="1" xfId="0" applyNumberFormat="1" applyFill="1" applyBorder="1" applyAlignment="1">
      <alignment vertical="center"/>
    </xf>
    <xf numFmtId="0" fontId="0" fillId="2" borderId="0" xfId="0" applyFill="1" applyBorder="1" applyAlignment="1">
      <alignment vertical="center"/>
    </xf>
    <xf numFmtId="0" fontId="0" fillId="2" borderId="4" xfId="0" applyFill="1" applyBorder="1" applyAlignment="1">
      <alignment vertical="center"/>
    </xf>
    <xf numFmtId="0" fontId="0" fillId="2" borderId="5" xfId="0" applyFill="1" applyBorder="1" applyAlignment="1">
      <alignment vertical="center"/>
    </xf>
    <xf numFmtId="164" fontId="0" fillId="2" borderId="1" xfId="0" applyNumberFormat="1" applyFill="1" applyBorder="1" applyAlignment="1">
      <alignment vertical="center"/>
    </xf>
    <xf numFmtId="165" fontId="0" fillId="2" borderId="1" xfId="0" applyNumberFormat="1" applyFill="1" applyBorder="1" applyAlignment="1">
      <alignment vertical="center"/>
    </xf>
    <xf numFmtId="0" fontId="0" fillId="2" borderId="6" xfId="0" applyFill="1" applyBorder="1" applyAlignment="1">
      <alignment vertical="center"/>
    </xf>
    <xf numFmtId="0" fontId="0" fillId="2" borderId="2" xfId="0" applyFill="1" applyBorder="1" applyAlignment="1">
      <alignment vertical="center"/>
    </xf>
    <xf numFmtId="0" fontId="0" fillId="2" borderId="7" xfId="0" applyFill="1" applyBorder="1" applyAlignment="1">
      <alignment vertical="center"/>
    </xf>
    <xf numFmtId="2" fontId="0" fillId="2" borderId="1" xfId="0" applyNumberFormat="1" applyFill="1" applyBorder="1" applyAlignment="1">
      <alignment horizontal="center" vertical="center"/>
    </xf>
    <xf numFmtId="1" fontId="0" fillId="2" borderId="4" xfId="0" applyNumberFormat="1" applyFill="1" applyBorder="1" applyAlignment="1">
      <alignment vertical="center"/>
    </xf>
    <xf numFmtId="0" fontId="10" fillId="2" borderId="0" xfId="0" applyFont="1" applyFill="1" applyBorder="1" applyAlignment="1">
      <alignment vertical="center"/>
    </xf>
    <xf numFmtId="0" fontId="11" fillId="2" borderId="0" xfId="0" applyFont="1" applyFill="1" applyBorder="1" applyAlignment="1">
      <alignment vertical="center"/>
    </xf>
    <xf numFmtId="0" fontId="2" fillId="2" borderId="1" xfId="0" applyFont="1" applyFill="1" applyBorder="1" applyAlignment="1">
      <alignment horizontal="center" vertical="center" wrapText="1"/>
    </xf>
    <xf numFmtId="0" fontId="0" fillId="2" borderId="3" xfId="0" applyFill="1" applyBorder="1" applyAlignment="1">
      <alignment vertical="center"/>
    </xf>
    <xf numFmtId="0" fontId="0" fillId="2" borderId="9" xfId="0" applyFill="1" applyBorder="1" applyAlignment="1">
      <alignment vertical="center"/>
    </xf>
    <xf numFmtId="0" fontId="0" fillId="2" borderId="1" xfId="0" applyFont="1" applyFill="1" applyBorder="1" applyAlignment="1">
      <alignment vertical="center" wrapText="1"/>
    </xf>
    <xf numFmtId="164" fontId="0" fillId="2" borderId="0" xfId="0" applyNumberFormat="1" applyFill="1" applyBorder="1"/>
    <xf numFmtId="0" fontId="11" fillId="2" borderId="0" xfId="0" applyFont="1" applyFill="1" applyBorder="1"/>
    <xf numFmtId="0" fontId="11" fillId="2" borderId="4" xfId="0" applyFont="1" applyFill="1" applyBorder="1"/>
    <xf numFmtId="0" fontId="11" fillId="2" borderId="5" xfId="0" applyFont="1" applyFill="1" applyBorder="1"/>
    <xf numFmtId="0" fontId="11" fillId="2" borderId="0" xfId="0" applyFont="1" applyFill="1"/>
    <xf numFmtId="0" fontId="0" fillId="2" borderId="8" xfId="0" applyFill="1" applyBorder="1" applyAlignment="1">
      <alignment vertical="center"/>
    </xf>
    <xf numFmtId="0" fontId="0" fillId="2" borderId="1" xfId="0" applyFill="1" applyBorder="1" applyAlignment="1">
      <alignment horizontal="left" vertical="center"/>
    </xf>
    <xf numFmtId="0" fontId="0" fillId="2" borderId="1" xfId="0" applyFill="1" applyBorder="1" applyAlignment="1">
      <alignment wrapText="1"/>
    </xf>
    <xf numFmtId="2" fontId="0" fillId="2" borderId="1" xfId="0" applyNumberFormat="1" applyFill="1" applyBorder="1" applyAlignment="1">
      <alignment wrapText="1"/>
    </xf>
    <xf numFmtId="164" fontId="0" fillId="2" borderId="6" xfId="0" applyNumberFormat="1" applyFill="1" applyBorder="1"/>
    <xf numFmtId="164" fontId="0" fillId="2" borderId="0" xfId="0" applyNumberFormat="1" applyFill="1" applyBorder="1" applyAlignment="1">
      <alignment vertical="center"/>
    </xf>
    <xf numFmtId="0" fontId="0" fillId="2" borderId="1" xfId="0" applyFill="1" applyBorder="1" applyAlignment="1">
      <alignment horizontal="left" vertical="center" wrapText="1"/>
    </xf>
    <xf numFmtId="0" fontId="2" fillId="2" borderId="1" xfId="0" applyFont="1" applyFill="1" applyBorder="1" applyAlignment="1">
      <alignment horizontal="center" vertical="center"/>
    </xf>
    <xf numFmtId="0" fontId="0" fillId="2" borderId="1" xfId="0" applyFill="1" applyBorder="1" applyAlignment="1">
      <alignment horizontal="center" vertical="center"/>
    </xf>
    <xf numFmtId="0" fontId="0" fillId="2" borderId="0" xfId="0" applyFill="1" applyBorder="1" applyAlignment="1">
      <alignment horizontal="left" vertical="center" wrapText="1"/>
    </xf>
    <xf numFmtId="0" fontId="11" fillId="2" borderId="1" xfId="0" applyFont="1" applyFill="1" applyBorder="1" applyAlignment="1">
      <alignment vertical="center"/>
    </xf>
    <xf numFmtId="1" fontId="11" fillId="3" borderId="1" xfId="0" applyNumberFormat="1" applyFont="1" applyFill="1" applyBorder="1" applyAlignment="1">
      <alignment vertical="center"/>
    </xf>
    <xf numFmtId="2" fontId="11" fillId="2" borderId="1" xfId="0" applyNumberFormat="1" applyFont="1" applyFill="1" applyBorder="1" applyAlignment="1">
      <alignment vertical="center"/>
    </xf>
    <xf numFmtId="0" fontId="0" fillId="2" borderId="10" xfId="0" applyFill="1" applyBorder="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0" fontId="0" fillId="2" borderId="1" xfId="0" applyFont="1" applyFill="1" applyBorder="1" applyAlignment="1">
      <alignment horizontal="center" vertical="center" wrapText="1"/>
    </xf>
    <xf numFmtId="0" fontId="0" fillId="3" borderId="1" xfId="0" applyFill="1" applyBorder="1" applyAlignment="1">
      <alignment vertical="center"/>
    </xf>
    <xf numFmtId="164" fontId="0" fillId="2" borderId="0" xfId="0" applyNumberFormat="1" applyFill="1" applyAlignment="1">
      <alignment vertical="center"/>
    </xf>
    <xf numFmtId="0" fontId="0" fillId="2" borderId="13" xfId="0" applyFill="1" applyBorder="1" applyAlignment="1">
      <alignment horizontal="center" vertical="center"/>
    </xf>
    <xf numFmtId="0" fontId="0" fillId="2" borderId="4" xfId="0" applyFill="1" applyBorder="1" applyAlignment="1">
      <alignment horizontal="right" vertical="center"/>
    </xf>
    <xf numFmtId="0" fontId="0" fillId="2" borderId="6" xfId="0" applyFill="1" applyBorder="1" applyAlignment="1">
      <alignment horizontal="right" vertical="center"/>
    </xf>
    <xf numFmtId="0" fontId="0" fillId="2" borderId="10" xfId="0" applyFill="1" applyBorder="1" applyAlignment="1">
      <alignment horizontal="center" vertical="center"/>
    </xf>
    <xf numFmtId="0" fontId="0" fillId="2" borderId="14" xfId="0" applyFill="1" applyBorder="1" applyAlignment="1">
      <alignment horizontal="center" vertical="center"/>
    </xf>
    <xf numFmtId="0" fontId="0" fillId="2" borderId="15" xfId="0" applyFill="1" applyBorder="1" applyAlignment="1">
      <alignment horizontal="center" vertical="center"/>
    </xf>
    <xf numFmtId="0" fontId="0" fillId="2" borderId="1" xfId="0" applyFill="1" applyBorder="1" applyAlignment="1">
      <alignment horizontal="center" vertical="center"/>
    </xf>
    <xf numFmtId="0" fontId="0" fillId="2" borderId="1" xfId="0" applyFill="1" applyBorder="1" applyAlignment="1">
      <alignment horizontal="left" vertical="center" wrapText="1"/>
    </xf>
    <xf numFmtId="0" fontId="2" fillId="2" borderId="1" xfId="0" applyFont="1" applyFill="1" applyBorder="1" applyAlignment="1">
      <alignment horizontal="center" vertical="center"/>
    </xf>
    <xf numFmtId="0" fontId="2" fillId="5" borderId="9" xfId="0" applyFont="1" applyFill="1" applyBorder="1" applyAlignment="1">
      <alignment horizontal="left" vertical="center"/>
    </xf>
    <xf numFmtId="0" fontId="2" fillId="5" borderId="8" xfId="0" applyFont="1" applyFill="1" applyBorder="1" applyAlignment="1">
      <alignment horizontal="left" vertical="center"/>
    </xf>
    <xf numFmtId="0" fontId="16" fillId="5" borderId="3" xfId="0" applyFont="1" applyFill="1" applyBorder="1" applyAlignment="1">
      <alignment horizontal="left" vertical="center"/>
    </xf>
    <xf numFmtId="164" fontId="11" fillId="3" borderId="1" xfId="0" applyNumberFormat="1" applyFont="1" applyFill="1" applyBorder="1" applyAlignment="1">
      <alignment vertical="center"/>
    </xf>
    <xf numFmtId="2" fontId="0" fillId="3" borderId="1" xfId="0" applyNumberFormat="1" applyFill="1" applyBorder="1" applyAlignment="1">
      <alignment vertical="center"/>
    </xf>
    <xf numFmtId="1" fontId="0" fillId="3" borderId="1" xfId="0" applyNumberFormat="1" applyFill="1" applyBorder="1" applyAlignment="1">
      <alignment vertical="center"/>
    </xf>
    <xf numFmtId="164" fontId="0" fillId="3" borderId="1" xfId="0" applyNumberFormat="1" applyFill="1" applyBorder="1" applyAlignment="1">
      <alignment vertical="center"/>
    </xf>
    <xf numFmtId="9" fontId="0" fillId="3" borderId="1" xfId="0" applyNumberFormat="1" applyFill="1" applyBorder="1" applyAlignment="1">
      <alignment vertical="center"/>
    </xf>
    <xf numFmtId="0" fontId="2" fillId="2" borderId="1" xfId="0" applyFont="1" applyFill="1" applyBorder="1" applyAlignment="1">
      <alignment vertical="center"/>
    </xf>
    <xf numFmtId="1" fontId="2" fillId="3" borderId="1" xfId="0" applyNumberFormat="1" applyFont="1" applyFill="1" applyBorder="1" applyAlignment="1">
      <alignment vertical="center"/>
    </xf>
    <xf numFmtId="0" fontId="0" fillId="2" borderId="0" xfId="0" applyFill="1" applyBorder="1" applyAlignment="1">
      <alignment horizontal="center" vertical="center"/>
    </xf>
    <xf numFmtId="1" fontId="2" fillId="0" borderId="1" xfId="0" applyNumberFormat="1" applyFont="1" applyFill="1" applyBorder="1" applyAlignment="1">
      <alignment vertical="center"/>
    </xf>
    <xf numFmtId="0" fontId="16" fillId="2" borderId="3" xfId="0" applyFont="1" applyFill="1" applyBorder="1" applyAlignment="1">
      <alignment horizontal="left" vertical="center"/>
    </xf>
    <xf numFmtId="0" fontId="16" fillId="2" borderId="9" xfId="0" applyFont="1" applyFill="1" applyBorder="1" applyAlignment="1">
      <alignment horizontal="left" vertical="center"/>
    </xf>
    <xf numFmtId="164" fontId="2" fillId="0" borderId="1" xfId="0" applyNumberFormat="1" applyFont="1" applyFill="1" applyBorder="1" applyAlignment="1">
      <alignment vertical="center"/>
    </xf>
    <xf numFmtId="0" fontId="3" fillId="2" borderId="4" xfId="0" applyFont="1" applyFill="1" applyBorder="1" applyAlignment="1">
      <alignment vertical="center"/>
    </xf>
    <xf numFmtId="0" fontId="2" fillId="2" borderId="4" xfId="0" applyFont="1" applyFill="1" applyBorder="1" applyAlignment="1">
      <alignment vertical="center"/>
    </xf>
    <xf numFmtId="0" fontId="0" fillId="2" borderId="0" xfId="0" applyFill="1" applyBorder="1" applyAlignment="1">
      <alignment vertical="center" wrapText="1"/>
    </xf>
    <xf numFmtId="0" fontId="0" fillId="0" borderId="4" xfId="0" applyBorder="1" applyAlignment="1">
      <alignment vertical="center"/>
    </xf>
    <xf numFmtId="0" fontId="0" fillId="2" borderId="0" xfId="0" applyFill="1" applyBorder="1" applyAlignment="1">
      <alignment horizontal="left" vertical="center" wrapText="1"/>
    </xf>
    <xf numFmtId="0" fontId="0" fillId="2" borderId="1" xfId="0" applyFill="1" applyBorder="1" applyAlignment="1">
      <alignment horizontal="left" vertical="center" wrapText="1"/>
    </xf>
    <xf numFmtId="0" fontId="16" fillId="2" borderId="3" xfId="0" applyFont="1" applyFill="1" applyBorder="1" applyAlignment="1">
      <alignment horizontal="left" vertical="center"/>
    </xf>
    <xf numFmtId="0" fontId="16" fillId="2" borderId="9" xfId="0" applyFont="1" applyFill="1" applyBorder="1" applyAlignment="1">
      <alignment horizontal="left" vertical="center"/>
    </xf>
    <xf numFmtId="0" fontId="2" fillId="3" borderId="1" xfId="0" applyFont="1" applyFill="1" applyBorder="1" applyAlignment="1">
      <alignment horizontal="left"/>
    </xf>
    <xf numFmtId="0" fontId="0" fillId="2" borderId="3" xfId="0" applyFill="1" applyBorder="1" applyAlignment="1">
      <alignment horizontal="left" vertical="center" wrapText="1"/>
    </xf>
    <xf numFmtId="0" fontId="0" fillId="2" borderId="8" xfId="0" applyFill="1" applyBorder="1" applyAlignment="1">
      <alignment horizontal="left" vertical="center" wrapText="1"/>
    </xf>
    <xf numFmtId="0" fontId="0" fillId="2" borderId="9" xfId="0" applyFill="1" applyBorder="1" applyAlignment="1">
      <alignment horizontal="left" vertical="center" wrapText="1"/>
    </xf>
    <xf numFmtId="0" fontId="0" fillId="4" borderId="10" xfId="0" applyFill="1" applyBorder="1" applyAlignment="1">
      <alignment vertical="center"/>
    </xf>
    <xf numFmtId="0" fontId="0" fillId="4" borderId="11" xfId="0" applyFill="1" applyBorder="1" applyAlignment="1">
      <alignment vertical="center"/>
    </xf>
    <xf numFmtId="0" fontId="0" fillId="4" borderId="12" xfId="0" applyFill="1" applyBorder="1" applyAlignment="1">
      <alignment vertical="center"/>
    </xf>
    <xf numFmtId="0" fontId="0" fillId="4" borderId="5" xfId="0" applyFill="1" applyBorder="1" applyAlignment="1">
      <alignment vertical="center"/>
    </xf>
    <xf numFmtId="2" fontId="0" fillId="2" borderId="0" xfId="0" applyNumberFormat="1" applyFill="1" applyBorder="1" applyAlignment="1">
      <alignment vertical="center"/>
    </xf>
    <xf numFmtId="0" fontId="0" fillId="4" borderId="5" xfId="0" applyFill="1" applyBorder="1" applyAlignment="1">
      <alignment vertical="center" wrapText="1"/>
    </xf>
    <xf numFmtId="0" fontId="0" fillId="4" borderId="6" xfId="0" applyFill="1" applyBorder="1" applyAlignment="1">
      <alignment vertical="center"/>
    </xf>
    <xf numFmtId="0" fontId="0" fillId="4" borderId="2" xfId="0" applyFill="1" applyBorder="1" applyAlignment="1">
      <alignment vertical="center"/>
    </xf>
    <xf numFmtId="0" fontId="0" fillId="4" borderId="7" xfId="0" applyFill="1" applyBorder="1" applyAlignment="1">
      <alignment vertical="center"/>
    </xf>
    <xf numFmtId="0" fontId="0" fillId="4" borderId="4" xfId="0" applyFill="1" applyBorder="1" applyAlignment="1">
      <alignment vertical="center"/>
    </xf>
    <xf numFmtId="0" fontId="0" fillId="0" borderId="0" xfId="0" applyBorder="1" applyAlignment="1">
      <alignment vertical="center"/>
    </xf>
    <xf numFmtId="0" fontId="3" fillId="2" borderId="4" xfId="0" applyFont="1" applyFill="1" applyBorder="1"/>
    <xf numFmtId="0" fontId="2" fillId="2" borderId="4" xfId="0" applyFont="1" applyFill="1" applyBorder="1"/>
    <xf numFmtId="0" fontId="0" fillId="4" borderId="4" xfId="0" applyFill="1" applyBorder="1"/>
    <xf numFmtId="0" fontId="0" fillId="4" borderId="5" xfId="0" applyFill="1" applyBorder="1"/>
    <xf numFmtId="0" fontId="0" fillId="4" borderId="6" xfId="0" applyFill="1" applyBorder="1"/>
    <xf numFmtId="0" fontId="0" fillId="4" borderId="2" xfId="0" applyFill="1" applyBorder="1"/>
    <xf numFmtId="0" fontId="0" fillId="4" borderId="7" xfId="0" applyFill="1" applyBorder="1"/>
    <xf numFmtId="0" fontId="0" fillId="4" borderId="8" xfId="0" applyFill="1" applyBorder="1"/>
    <xf numFmtId="0" fontId="0" fillId="4" borderId="10" xfId="0" applyFill="1" applyBorder="1"/>
    <xf numFmtId="0" fontId="0" fillId="4" borderId="12" xfId="0" applyFill="1" applyBorder="1"/>
    <xf numFmtId="0" fontId="0" fillId="3" borderId="1" xfId="0" applyFill="1" applyBorder="1"/>
    <xf numFmtId="164" fontId="0" fillId="3" borderId="1" xfId="0" applyNumberFormat="1" applyFill="1" applyBorder="1"/>
    <xf numFmtId="0" fontId="0" fillId="2" borderId="10" xfId="0" applyFill="1" applyBorder="1"/>
    <xf numFmtId="0" fontId="0" fillId="2" borderId="11" xfId="0" applyFill="1" applyBorder="1"/>
    <xf numFmtId="0" fontId="0" fillId="2" borderId="12" xfId="0" applyFill="1" applyBorder="1"/>
    <xf numFmtId="0" fontId="0" fillId="4" borderId="11" xfId="0" applyFill="1" applyBorder="1"/>
    <xf numFmtId="0" fontId="11" fillId="4" borderId="4" xfId="0" applyFont="1" applyFill="1" applyBorder="1"/>
    <xf numFmtId="0" fontId="11" fillId="4" borderId="5" xfId="0" applyFont="1" applyFill="1" applyBorder="1"/>
    <xf numFmtId="9" fontId="0" fillId="3" borderId="1" xfId="0" applyNumberFormat="1" applyFill="1" applyBorder="1"/>
    <xf numFmtId="0" fontId="1" fillId="2" borderId="4" xfId="0" applyFont="1" applyFill="1" applyBorder="1" applyAlignment="1">
      <alignment vertical="center"/>
    </xf>
    <xf numFmtId="165" fontId="0" fillId="3" borderId="1" xfId="0" applyNumberFormat="1" applyFill="1" applyBorder="1" applyAlignment="1">
      <alignment vertical="center"/>
    </xf>
    <xf numFmtId="0" fontId="16" fillId="5" borderId="1" xfId="0" applyFont="1" applyFill="1" applyBorder="1" applyAlignment="1">
      <alignment horizontal="center" vertical="center"/>
    </xf>
    <xf numFmtId="2" fontId="0" fillId="3" borderId="1" xfId="0" applyNumberFormat="1" applyFill="1" applyBorder="1"/>
    <xf numFmtId="1" fontId="0" fillId="0" borderId="1" xfId="0" applyNumberFormat="1" applyFill="1" applyBorder="1"/>
    <xf numFmtId="0" fontId="16" fillId="2" borderId="1" xfId="0" applyFont="1" applyFill="1" applyBorder="1" applyAlignment="1">
      <alignment vertical="center"/>
    </xf>
    <xf numFmtId="1" fontId="16" fillId="3" borderId="1" xfId="0" applyNumberFormat="1" applyFont="1" applyFill="1" applyBorder="1" applyAlignment="1">
      <alignment vertical="center"/>
    </xf>
    <xf numFmtId="0" fontId="0" fillId="3" borderId="1" xfId="0" applyFont="1" applyFill="1" applyBorder="1" applyAlignment="1">
      <alignment vertical="center"/>
    </xf>
    <xf numFmtId="0" fontId="0" fillId="2" borderId="1" xfId="0" applyFont="1" applyFill="1" applyBorder="1" applyAlignment="1">
      <alignment vertical="center"/>
    </xf>
    <xf numFmtId="1" fontId="16" fillId="0" borderId="1" xfId="0" applyNumberFormat="1" applyFont="1" applyFill="1" applyBorder="1" applyAlignment="1">
      <alignment vertical="center"/>
    </xf>
    <xf numFmtId="0" fontId="2" fillId="2" borderId="1" xfId="0" applyFont="1" applyFill="1" applyBorder="1"/>
    <xf numFmtId="164" fontId="2" fillId="3" borderId="1" xfId="0" applyNumberFormat="1" applyFont="1" applyFill="1" applyBorder="1"/>
    <xf numFmtId="0" fontId="2" fillId="2" borderId="1" xfId="0" applyFont="1" applyFill="1" applyBorder="1" applyAlignment="1">
      <alignment horizontal="left"/>
    </xf>
    <xf numFmtId="164" fontId="2" fillId="3" borderId="1" xfId="0" applyNumberFormat="1" applyFont="1" applyFill="1" applyBorder="1" applyAlignment="1">
      <alignment horizontal="left"/>
    </xf>
    <xf numFmtId="0" fontId="2" fillId="2" borderId="0" xfId="0" applyFont="1" applyFill="1" applyBorder="1"/>
    <xf numFmtId="0" fontId="2" fillId="2" borderId="5" xfId="0" applyFont="1" applyFill="1" applyBorder="1"/>
    <xf numFmtId="164" fontId="2" fillId="3" borderId="1" xfId="0" applyNumberFormat="1" applyFont="1" applyFill="1" applyBorder="1" applyAlignment="1">
      <alignment vertical="center"/>
    </xf>
    <xf numFmtId="164" fontId="0" fillId="3" borderId="1" xfId="0" applyNumberFormat="1" applyFont="1" applyFill="1" applyBorder="1" applyAlignment="1">
      <alignment vertical="center"/>
    </xf>
    <xf numFmtId="0" fontId="16" fillId="2" borderId="3" xfId="0" applyFont="1" applyFill="1" applyBorder="1" applyAlignment="1">
      <alignment horizontal="left" vertical="center"/>
    </xf>
    <xf numFmtId="0" fontId="16" fillId="2" borderId="9" xfId="0" applyFont="1" applyFill="1" applyBorder="1" applyAlignment="1">
      <alignment horizontal="left" vertical="center"/>
    </xf>
    <xf numFmtId="0" fontId="2" fillId="2" borderId="1" xfId="0" applyFont="1" applyFill="1" applyBorder="1" applyAlignment="1">
      <alignment horizontal="center" vertical="center"/>
    </xf>
    <xf numFmtId="0" fontId="0" fillId="2" borderId="1" xfId="0" applyFill="1" applyBorder="1" applyAlignment="1">
      <alignment horizontal="center" vertical="center"/>
    </xf>
    <xf numFmtId="0" fontId="2" fillId="2" borderId="1" xfId="0" applyFont="1" applyFill="1" applyBorder="1" applyAlignment="1">
      <alignment horizontal="left"/>
    </xf>
    <xf numFmtId="0" fontId="2" fillId="2" borderId="0" xfId="0" applyFont="1" applyFill="1" applyBorder="1" applyAlignment="1"/>
    <xf numFmtId="164" fontId="16" fillId="0" borderId="1" xfId="0" applyNumberFormat="1" applyFont="1" applyFill="1" applyBorder="1" applyAlignment="1">
      <alignment vertical="center"/>
    </xf>
    <xf numFmtId="0" fontId="0" fillId="2" borderId="0" xfId="0" applyFill="1" applyBorder="1" applyAlignment="1">
      <alignment horizontal="right" vertical="center"/>
    </xf>
    <xf numFmtId="0" fontId="2" fillId="8" borderId="1" xfId="0" applyFont="1" applyFill="1" applyBorder="1"/>
    <xf numFmtId="0" fontId="0" fillId="8" borderId="1" xfId="0" applyFill="1" applyBorder="1"/>
    <xf numFmtId="0" fontId="0" fillId="8" borderId="1" xfId="0" applyFill="1" applyBorder="1" applyAlignment="1">
      <alignment wrapText="1"/>
    </xf>
    <xf numFmtId="0" fontId="2" fillId="8" borderId="1" xfId="0" applyFont="1" applyFill="1" applyBorder="1" applyAlignment="1">
      <alignment horizontal="left" vertical="center"/>
    </xf>
    <xf numFmtId="0" fontId="0" fillId="8" borderId="1" xfId="0" applyFill="1" applyBorder="1" applyAlignment="1">
      <alignment horizontal="left" vertical="center"/>
    </xf>
    <xf numFmtId="0" fontId="0" fillId="2" borderId="1" xfId="0" applyFill="1" applyBorder="1" applyAlignment="1">
      <alignment horizontal="center" vertical="center"/>
    </xf>
    <xf numFmtId="0" fontId="0" fillId="2" borderId="1" xfId="0" applyFill="1" applyBorder="1" applyAlignment="1">
      <alignment horizontal="right" vertical="center"/>
    </xf>
    <xf numFmtId="0" fontId="0" fillId="2" borderId="0" xfId="0" applyFill="1" applyBorder="1" applyAlignment="1">
      <alignment vertical="top"/>
    </xf>
    <xf numFmtId="0" fontId="0" fillId="2" borderId="4" xfId="0" applyFill="1" applyBorder="1" applyAlignment="1">
      <alignment vertical="top"/>
    </xf>
    <xf numFmtId="0" fontId="0" fillId="2" borderId="5" xfId="0" applyFill="1" applyBorder="1" applyAlignment="1">
      <alignment vertical="top"/>
    </xf>
    <xf numFmtId="0" fontId="0" fillId="2" borderId="6" xfId="0" applyFill="1" applyBorder="1" applyAlignment="1">
      <alignment vertical="top"/>
    </xf>
    <xf numFmtId="0" fontId="0" fillId="2" borderId="3" xfId="0" applyFill="1" applyBorder="1" applyAlignment="1">
      <alignment vertical="top"/>
    </xf>
    <xf numFmtId="0" fontId="0" fillId="2" borderId="8" xfId="0" applyFill="1" applyBorder="1" applyAlignment="1">
      <alignment vertical="top"/>
    </xf>
    <xf numFmtId="0" fontId="0" fillId="2" borderId="9" xfId="0" applyFill="1" applyBorder="1" applyAlignment="1">
      <alignment vertical="top"/>
    </xf>
    <xf numFmtId="0" fontId="7" fillId="2" borderId="0" xfId="1" applyFill="1"/>
    <xf numFmtId="1" fontId="0" fillId="3" borderId="1" xfId="0" applyNumberFormat="1" applyFill="1" applyBorder="1"/>
    <xf numFmtId="0" fontId="16" fillId="2" borderId="1" xfId="0" applyFont="1" applyFill="1" applyBorder="1"/>
    <xf numFmtId="0" fontId="16" fillId="2" borderId="1" xfId="0" applyFont="1" applyFill="1" applyBorder="1" applyAlignment="1">
      <alignment wrapText="1"/>
    </xf>
    <xf numFmtId="0" fontId="2" fillId="2" borderId="1" xfId="0" applyFont="1" applyFill="1" applyBorder="1" applyAlignment="1">
      <alignment vertical="center" wrapText="1"/>
    </xf>
    <xf numFmtId="0" fontId="2" fillId="2" borderId="1" xfId="0" applyFont="1" applyFill="1" applyBorder="1" applyAlignment="1">
      <alignment horizontal="center" vertical="center"/>
    </xf>
    <xf numFmtId="0" fontId="0" fillId="2" borderId="1" xfId="0" applyFill="1" applyBorder="1" applyAlignment="1">
      <alignment horizontal="center" vertical="center"/>
    </xf>
    <xf numFmtId="0" fontId="2" fillId="2" borderId="10" xfId="0" applyFont="1" applyFill="1" applyBorder="1"/>
    <xf numFmtId="0" fontId="0" fillId="2" borderId="0" xfId="0" applyFill="1" applyAlignment="1">
      <alignment horizontal="center" vertical="center"/>
    </xf>
    <xf numFmtId="0" fontId="0" fillId="2" borderId="5" xfId="0" applyFill="1" applyBorder="1" applyAlignment="1"/>
    <xf numFmtId="0" fontId="0" fillId="2" borderId="4" xfId="0" applyFont="1" applyFill="1" applyBorder="1"/>
    <xf numFmtId="0" fontId="0" fillId="2" borderId="4" xfId="0" applyFont="1" applyFill="1" applyBorder="1" applyAlignment="1">
      <alignment vertical="center" wrapText="1"/>
    </xf>
    <xf numFmtId="0" fontId="15" fillId="2" borderId="0" xfId="0" applyFont="1" applyFill="1" applyAlignment="1">
      <alignment vertical="center" wrapText="1"/>
    </xf>
    <xf numFmtId="0" fontId="0" fillId="2" borderId="4" xfId="0" applyFont="1" applyFill="1" applyBorder="1" applyAlignment="1">
      <alignment vertical="center"/>
    </xf>
    <xf numFmtId="0" fontId="0" fillId="2" borderId="6" xfId="0" applyFont="1" applyFill="1" applyBorder="1" applyAlignment="1">
      <alignment vertical="center" wrapText="1"/>
    </xf>
    <xf numFmtId="0" fontId="0" fillId="2" borderId="0" xfId="0" applyFill="1" applyAlignment="1"/>
    <xf numFmtId="0" fontId="0" fillId="2" borderId="1" xfId="0" applyFill="1" applyBorder="1" applyAlignment="1">
      <alignment horizontal="left" vertical="center" wrapText="1"/>
    </xf>
    <xf numFmtId="0" fontId="7" fillId="2" borderId="1" xfId="1" applyFill="1" applyBorder="1" applyAlignment="1">
      <alignment horizontal="left" vertical="center" wrapText="1"/>
    </xf>
    <xf numFmtId="0" fontId="59" fillId="5" borderId="1" xfId="1" applyFont="1" applyFill="1" applyBorder="1" applyAlignment="1">
      <alignment horizontal="left" vertical="center"/>
    </xf>
    <xf numFmtId="0" fontId="16" fillId="8" borderId="1" xfId="0" applyFont="1" applyFill="1" applyBorder="1" applyAlignment="1">
      <alignment horizontal="left"/>
    </xf>
    <xf numFmtId="0" fontId="2" fillId="5" borderId="3" xfId="0" applyFont="1" applyFill="1" applyBorder="1" applyAlignment="1">
      <alignment horizontal="left" vertical="center"/>
    </xf>
    <xf numFmtId="0" fontId="2" fillId="5" borderId="9" xfId="0" applyFont="1" applyFill="1" applyBorder="1" applyAlignment="1">
      <alignment horizontal="left" vertical="center"/>
    </xf>
    <xf numFmtId="0" fontId="1" fillId="2" borderId="1" xfId="0" applyFont="1" applyFill="1" applyBorder="1" applyAlignment="1">
      <alignment horizontal="left" vertical="top" wrapText="1"/>
    </xf>
    <xf numFmtId="0" fontId="11" fillId="2" borderId="1" xfId="0" applyFont="1" applyFill="1" applyBorder="1" applyAlignment="1">
      <alignment horizontal="left" vertical="center" wrapText="1"/>
    </xf>
    <xf numFmtId="0" fontId="11" fillId="2" borderId="1" xfId="0" applyFont="1" applyFill="1" applyBorder="1" applyAlignment="1">
      <alignment horizontal="left" vertical="top" wrapText="1"/>
    </xf>
    <xf numFmtId="0" fontId="2" fillId="8" borderId="1" xfId="0" applyFont="1" applyFill="1" applyBorder="1" applyAlignment="1">
      <alignment horizontal="left" vertical="center"/>
    </xf>
    <xf numFmtId="0" fontId="0" fillId="2" borderId="3" xfId="0" applyFill="1" applyBorder="1" applyAlignment="1">
      <alignment horizontal="center"/>
    </xf>
    <xf numFmtId="0" fontId="0" fillId="2" borderId="9" xfId="0" applyFill="1" applyBorder="1" applyAlignment="1">
      <alignment horizontal="center"/>
    </xf>
    <xf numFmtId="0" fontId="2" fillId="5" borderId="1" xfId="0" applyFont="1" applyFill="1" applyBorder="1" applyAlignment="1">
      <alignment horizontal="left" vertical="center"/>
    </xf>
    <xf numFmtId="0" fontId="7" fillId="2" borderId="3" xfId="1" applyFill="1" applyBorder="1" applyAlignment="1">
      <alignment horizontal="left" vertical="top" wrapText="1"/>
    </xf>
    <xf numFmtId="0" fontId="7" fillId="2" borderId="8" xfId="1" applyFill="1" applyBorder="1" applyAlignment="1">
      <alignment horizontal="left" vertical="top" wrapText="1"/>
    </xf>
    <xf numFmtId="0" fontId="7" fillId="2" borderId="9" xfId="1" applyFill="1" applyBorder="1" applyAlignment="1">
      <alignment horizontal="left" vertical="top" wrapText="1"/>
    </xf>
    <xf numFmtId="0" fontId="2" fillId="5" borderId="1" xfId="0" applyFont="1" applyFill="1" applyBorder="1" applyAlignment="1">
      <alignment horizontal="left" vertical="top"/>
    </xf>
    <xf numFmtId="0" fontId="2" fillId="2" borderId="3"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8" xfId="0" applyFont="1" applyFill="1" applyBorder="1" applyAlignment="1">
      <alignment horizontal="center" vertical="center"/>
    </xf>
    <xf numFmtId="0" fontId="0" fillId="2" borderId="9" xfId="0" applyFont="1" applyFill="1" applyBorder="1" applyAlignment="1">
      <alignment horizontal="center" vertical="center"/>
    </xf>
    <xf numFmtId="0" fontId="13" fillId="7" borderId="3" xfId="0" applyFont="1" applyFill="1" applyBorder="1" applyAlignment="1">
      <alignment horizontal="center" vertical="center"/>
    </xf>
    <xf numFmtId="0" fontId="13" fillId="7" borderId="8" xfId="0" applyFont="1" applyFill="1" applyBorder="1" applyAlignment="1">
      <alignment horizontal="center" vertical="center"/>
    </xf>
    <xf numFmtId="0" fontId="13" fillId="7" borderId="9" xfId="0" applyFont="1" applyFill="1" applyBorder="1" applyAlignment="1">
      <alignment horizontal="center" vertical="center"/>
    </xf>
    <xf numFmtId="0" fontId="20" fillId="3" borderId="13" xfId="0" applyFont="1" applyFill="1" applyBorder="1" applyAlignment="1">
      <alignment horizontal="center" vertical="center" textRotation="90" wrapText="1"/>
    </xf>
    <xf numFmtId="0" fontId="20" fillId="3" borderId="14" xfId="0" applyFont="1" applyFill="1" applyBorder="1" applyAlignment="1">
      <alignment horizontal="center" vertical="center" textRotation="90" wrapText="1"/>
    </xf>
    <xf numFmtId="0" fontId="20" fillId="3" borderId="15" xfId="0" applyFont="1" applyFill="1" applyBorder="1" applyAlignment="1">
      <alignment horizontal="center" vertical="center" textRotation="90" wrapText="1"/>
    </xf>
    <xf numFmtId="0" fontId="0" fillId="6" borderId="10" xfId="0" applyFill="1" applyBorder="1" applyAlignment="1">
      <alignment horizontal="center" vertical="center"/>
    </xf>
    <xf numFmtId="0" fontId="0" fillId="6" borderId="14" xfId="0" applyFill="1" applyBorder="1" applyAlignment="1">
      <alignment horizontal="center" vertical="center"/>
    </xf>
    <xf numFmtId="0" fontId="0" fillId="6" borderId="6" xfId="0" applyFill="1" applyBorder="1" applyAlignment="1">
      <alignment horizontal="center" vertical="center"/>
    </xf>
    <xf numFmtId="0" fontId="0" fillId="6" borderId="12" xfId="0" applyFill="1" applyBorder="1" applyAlignment="1">
      <alignment horizontal="center" vertical="center"/>
    </xf>
    <xf numFmtId="0" fontId="0" fillId="6" borderId="5" xfId="0" applyFill="1" applyBorder="1" applyAlignment="1">
      <alignment horizontal="center" vertical="center"/>
    </xf>
    <xf numFmtId="0" fontId="0" fillId="6" borderId="7" xfId="0" applyFill="1" applyBorder="1" applyAlignment="1">
      <alignment horizontal="center" vertical="center"/>
    </xf>
    <xf numFmtId="0" fontId="0" fillId="6" borderId="11" xfId="0" applyFill="1" applyBorder="1" applyAlignment="1">
      <alignment horizontal="center" vertical="center"/>
    </xf>
    <xf numFmtId="0" fontId="0" fillId="6" borderId="2" xfId="0" applyFill="1" applyBorder="1" applyAlignment="1">
      <alignment horizontal="center" vertical="center"/>
    </xf>
    <xf numFmtId="0" fontId="2" fillId="5" borderId="8" xfId="0" applyFont="1" applyFill="1" applyBorder="1" applyAlignment="1">
      <alignment horizontal="left" vertical="center"/>
    </xf>
    <xf numFmtId="0" fontId="0" fillId="2" borderId="10" xfId="0" applyFill="1" applyBorder="1" applyAlignment="1">
      <alignment horizontal="left" vertical="center" wrapText="1"/>
    </xf>
    <xf numFmtId="0" fontId="0" fillId="2" borderId="11" xfId="0" applyFill="1" applyBorder="1" applyAlignment="1">
      <alignment horizontal="left" vertical="center" wrapText="1"/>
    </xf>
    <xf numFmtId="0" fontId="0" fillId="2" borderId="12" xfId="0" applyFill="1" applyBorder="1" applyAlignment="1">
      <alignment horizontal="left" vertical="center" wrapText="1"/>
    </xf>
    <xf numFmtId="0" fontId="0" fillId="2" borderId="6" xfId="0" applyFill="1" applyBorder="1" applyAlignment="1">
      <alignment horizontal="left" vertical="center" wrapText="1"/>
    </xf>
    <xf numFmtId="0" fontId="0" fillId="2" borderId="2" xfId="0" applyFill="1" applyBorder="1" applyAlignment="1">
      <alignment horizontal="left" vertical="center" wrapText="1"/>
    </xf>
    <xf numFmtId="0" fontId="0" fillId="2" borderId="7" xfId="0" applyFill="1" applyBorder="1" applyAlignment="1">
      <alignment horizontal="left" vertical="center" wrapText="1"/>
    </xf>
    <xf numFmtId="0" fontId="8" fillId="2" borderId="3" xfId="0" applyFont="1" applyFill="1" applyBorder="1" applyAlignment="1">
      <alignment horizontal="left" vertical="center"/>
    </xf>
    <xf numFmtId="0" fontId="8" fillId="2" borderId="9" xfId="0" applyFont="1" applyFill="1" applyBorder="1" applyAlignment="1">
      <alignment horizontal="left" vertical="center"/>
    </xf>
    <xf numFmtId="0" fontId="0" fillId="2" borderId="0" xfId="0" applyFill="1" applyBorder="1" applyAlignment="1">
      <alignment horizontal="left" vertical="center" wrapText="1"/>
    </xf>
    <xf numFmtId="0" fontId="2" fillId="3" borderId="1" xfId="0" applyFont="1" applyFill="1" applyBorder="1" applyAlignment="1">
      <alignment horizontal="left" vertical="center"/>
    </xf>
    <xf numFmtId="0" fontId="2" fillId="2" borderId="1" xfId="0" applyFont="1" applyFill="1" applyBorder="1" applyAlignment="1">
      <alignment horizontal="center" vertical="center"/>
    </xf>
    <xf numFmtId="0" fontId="0" fillId="2" borderId="1" xfId="0" applyFill="1" applyBorder="1" applyAlignment="1">
      <alignment horizontal="center" vertical="center"/>
    </xf>
    <xf numFmtId="0" fontId="16" fillId="2" borderId="3" xfId="0" applyFont="1" applyFill="1" applyBorder="1" applyAlignment="1">
      <alignment horizontal="left" vertical="center"/>
    </xf>
    <xf numFmtId="0" fontId="16" fillId="2" borderId="9" xfId="0" applyFont="1" applyFill="1" applyBorder="1" applyAlignment="1">
      <alignment horizontal="left" vertical="center"/>
    </xf>
    <xf numFmtId="0" fontId="0" fillId="2" borderId="1" xfId="0" applyFont="1" applyFill="1" applyBorder="1" applyAlignment="1">
      <alignment horizontal="left" vertical="center" wrapText="1"/>
    </xf>
    <xf numFmtId="0" fontId="23" fillId="2" borderId="3" xfId="0" applyFont="1" applyFill="1" applyBorder="1" applyAlignment="1">
      <alignment horizontal="left" vertical="center"/>
    </xf>
    <xf numFmtId="0" fontId="23" fillId="2" borderId="9" xfId="0" applyFont="1" applyFill="1" applyBorder="1" applyAlignment="1">
      <alignment horizontal="left" vertical="center"/>
    </xf>
    <xf numFmtId="0" fontId="18" fillId="7" borderId="3" xfId="0" applyFont="1" applyFill="1" applyBorder="1" applyAlignment="1">
      <alignment horizontal="center" vertical="center"/>
    </xf>
    <xf numFmtId="0" fontId="18" fillId="7" borderId="8" xfId="0" applyFont="1" applyFill="1" applyBorder="1" applyAlignment="1">
      <alignment horizontal="center" vertical="center"/>
    </xf>
    <xf numFmtId="0" fontId="18" fillId="7" borderId="9" xfId="0" applyFont="1" applyFill="1" applyBorder="1" applyAlignment="1">
      <alignment horizontal="center" vertical="center"/>
    </xf>
    <xf numFmtId="0" fontId="16" fillId="2" borderId="3" xfId="0" applyFont="1" applyFill="1" applyBorder="1" applyAlignment="1">
      <alignment horizontal="left" vertical="center" wrapText="1"/>
    </xf>
    <xf numFmtId="0" fontId="16" fillId="2" borderId="9" xfId="0" applyFont="1" applyFill="1" applyBorder="1" applyAlignment="1">
      <alignment horizontal="left" vertical="center" wrapText="1"/>
    </xf>
    <xf numFmtId="0" fontId="0" fillId="2" borderId="4" xfId="0" applyFill="1" applyBorder="1" applyAlignment="1">
      <alignment horizontal="left" vertical="center" wrapText="1"/>
    </xf>
    <xf numFmtId="0" fontId="0" fillId="2" borderId="5" xfId="0" applyFill="1" applyBorder="1" applyAlignment="1">
      <alignment horizontal="left" vertical="center" wrapText="1"/>
    </xf>
    <xf numFmtId="0" fontId="2" fillId="5" borderId="3" xfId="0" applyFont="1" applyFill="1" applyBorder="1" applyAlignment="1">
      <alignment horizontal="left"/>
    </xf>
    <xf numFmtId="0" fontId="2" fillId="5" borderId="8" xfId="0" applyFont="1" applyFill="1" applyBorder="1" applyAlignment="1">
      <alignment horizontal="left"/>
    </xf>
    <xf numFmtId="0" fontId="2" fillId="5" borderId="9" xfId="0" applyFont="1" applyFill="1" applyBorder="1" applyAlignment="1">
      <alignment horizontal="left"/>
    </xf>
    <xf numFmtId="0" fontId="2" fillId="2" borderId="6"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2" borderId="6"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7" xfId="0" applyFont="1" applyFill="1" applyBorder="1" applyAlignment="1">
      <alignment horizontal="center" vertical="center"/>
    </xf>
    <xf numFmtId="0" fontId="0" fillId="2" borderId="3" xfId="0" applyFill="1" applyBorder="1" applyAlignment="1">
      <alignment horizontal="center" vertical="center"/>
    </xf>
    <xf numFmtId="0" fontId="0" fillId="2" borderId="8" xfId="0" applyFill="1" applyBorder="1" applyAlignment="1">
      <alignment horizontal="center" vertical="center"/>
    </xf>
    <xf numFmtId="0" fontId="0" fillId="2" borderId="9" xfId="0" applyFill="1" applyBorder="1" applyAlignment="1">
      <alignment horizontal="center" vertical="center"/>
    </xf>
    <xf numFmtId="0" fontId="0" fillId="2" borderId="1" xfId="0" applyFill="1" applyBorder="1" applyAlignment="1">
      <alignment horizontal="left" vertical="center"/>
    </xf>
    <xf numFmtId="0" fontId="2" fillId="2" borderId="1" xfId="0" applyFont="1" applyFill="1" applyBorder="1" applyAlignment="1">
      <alignment horizontal="left" vertical="center" wrapText="1"/>
    </xf>
    <xf numFmtId="0" fontId="13" fillId="7" borderId="10" xfId="0" applyFont="1" applyFill="1" applyBorder="1" applyAlignment="1">
      <alignment horizontal="left" wrapText="1"/>
    </xf>
    <xf numFmtId="0" fontId="13" fillId="7" borderId="11" xfId="0" applyFont="1" applyFill="1" applyBorder="1" applyAlignment="1">
      <alignment horizontal="left" wrapText="1"/>
    </xf>
    <xf numFmtId="0" fontId="13" fillId="7" borderId="12" xfId="0" applyFont="1" applyFill="1" applyBorder="1" applyAlignment="1">
      <alignment horizontal="left" wrapText="1"/>
    </xf>
    <xf numFmtId="0" fontId="13" fillId="7" borderId="6" xfId="0" applyFont="1" applyFill="1" applyBorder="1" applyAlignment="1">
      <alignment horizontal="left" wrapText="1"/>
    </xf>
    <xf numFmtId="0" fontId="13" fillId="7" borderId="2" xfId="0" applyFont="1" applyFill="1" applyBorder="1" applyAlignment="1">
      <alignment horizontal="left" wrapText="1"/>
    </xf>
    <xf numFmtId="0" fontId="13" fillId="7" borderId="7" xfId="0" applyFont="1" applyFill="1" applyBorder="1" applyAlignment="1">
      <alignment horizontal="left" wrapText="1"/>
    </xf>
    <xf numFmtId="0" fontId="2" fillId="5" borderId="1" xfId="0" applyFont="1" applyFill="1" applyBorder="1" applyAlignment="1">
      <alignment horizontal="left"/>
    </xf>
    <xf numFmtId="0" fontId="2" fillId="3" borderId="1" xfId="0" applyFont="1" applyFill="1" applyBorder="1" applyAlignment="1">
      <alignment horizontal="left"/>
    </xf>
    <xf numFmtId="0" fontId="0" fillId="2" borderId="13" xfId="0" applyFill="1" applyBorder="1" applyAlignment="1">
      <alignment horizontal="left" vertical="center" wrapText="1"/>
    </xf>
    <xf numFmtId="0" fontId="13" fillId="7" borderId="10" xfId="0" applyFont="1" applyFill="1" applyBorder="1" applyAlignment="1">
      <alignment horizontal="left" vertical="top" wrapText="1"/>
    </xf>
    <xf numFmtId="0" fontId="13" fillId="7" borderId="11" xfId="0" applyFont="1" applyFill="1" applyBorder="1" applyAlignment="1">
      <alignment horizontal="left" vertical="top" wrapText="1"/>
    </xf>
    <xf numFmtId="0" fontId="13" fillId="7" borderId="12" xfId="0" applyFont="1" applyFill="1" applyBorder="1" applyAlignment="1">
      <alignment horizontal="left" vertical="top" wrapText="1"/>
    </xf>
    <xf numFmtId="0" fontId="13" fillId="7" borderId="6" xfId="0" applyFont="1" applyFill="1" applyBorder="1" applyAlignment="1">
      <alignment horizontal="left" vertical="top" wrapText="1"/>
    </xf>
    <xf numFmtId="0" fontId="13" fillId="7" borderId="2" xfId="0" applyFont="1" applyFill="1" applyBorder="1" applyAlignment="1">
      <alignment horizontal="left" vertical="top" wrapText="1"/>
    </xf>
    <xf numFmtId="0" fontId="13" fillId="7" borderId="7" xfId="0" applyFont="1" applyFill="1" applyBorder="1" applyAlignment="1">
      <alignment horizontal="left" vertical="top" wrapText="1"/>
    </xf>
    <xf numFmtId="0" fontId="2" fillId="2" borderId="1" xfId="0" applyFont="1" applyFill="1" applyBorder="1" applyAlignment="1">
      <alignment horizontal="left"/>
    </xf>
    <xf numFmtId="0" fontId="0" fillId="2" borderId="3" xfId="0" applyFill="1" applyBorder="1" applyAlignment="1">
      <alignment horizontal="left" vertical="center" wrapText="1"/>
    </xf>
    <xf numFmtId="0" fontId="0" fillId="2" borderId="8" xfId="0" applyFill="1" applyBorder="1" applyAlignment="1">
      <alignment horizontal="left" vertical="center" wrapText="1"/>
    </xf>
    <xf numFmtId="0" fontId="0" fillId="2" borderId="9" xfId="0" applyFill="1" applyBorder="1" applyAlignment="1">
      <alignment horizontal="left" vertical="center" wrapText="1"/>
    </xf>
    <xf numFmtId="0" fontId="2" fillId="3" borderId="3" xfId="0" applyFont="1" applyFill="1" applyBorder="1" applyAlignment="1">
      <alignment horizontal="left"/>
    </xf>
    <xf numFmtId="0" fontId="2" fillId="3" borderId="8" xfId="0" applyFont="1" applyFill="1" applyBorder="1" applyAlignment="1">
      <alignment horizontal="left"/>
    </xf>
    <xf numFmtId="0" fontId="2" fillId="3" borderId="9" xfId="0" applyFont="1" applyFill="1" applyBorder="1" applyAlignment="1">
      <alignment horizontal="left"/>
    </xf>
    <xf numFmtId="0" fontId="2" fillId="2" borderId="4" xfId="0" applyFont="1" applyFill="1" applyBorder="1" applyAlignment="1">
      <alignment horizontal="right" vertical="center"/>
    </xf>
    <xf numFmtId="0" fontId="2" fillId="2" borderId="0" xfId="0" applyFont="1" applyFill="1" applyBorder="1" applyAlignment="1">
      <alignment horizontal="right" vertical="center"/>
    </xf>
    <xf numFmtId="0" fontId="2" fillId="2" borderId="6" xfId="0" applyFont="1" applyFill="1" applyBorder="1" applyAlignment="1">
      <alignment horizontal="right" vertical="center"/>
    </xf>
    <xf numFmtId="0" fontId="2" fillId="2" borderId="2" xfId="0" applyFont="1" applyFill="1" applyBorder="1" applyAlignment="1">
      <alignment horizontal="right" vertical="center"/>
    </xf>
    <xf numFmtId="0" fontId="0" fillId="2" borderId="10" xfId="0" applyFont="1" applyFill="1" applyBorder="1" applyAlignment="1">
      <alignment horizontal="left" vertical="center" wrapText="1"/>
    </xf>
    <xf numFmtId="0" fontId="0" fillId="2" borderId="11" xfId="0" applyFont="1" applyFill="1" applyBorder="1" applyAlignment="1">
      <alignment horizontal="left" vertical="center" wrapText="1"/>
    </xf>
    <xf numFmtId="0" fontId="0" fillId="2" borderId="12" xfId="0" applyFont="1" applyFill="1" applyBorder="1" applyAlignment="1">
      <alignment horizontal="left" vertical="center" wrapText="1"/>
    </xf>
    <xf numFmtId="0" fontId="0" fillId="2" borderId="4" xfId="0" applyFont="1" applyFill="1" applyBorder="1" applyAlignment="1">
      <alignment horizontal="left" vertical="center" wrapText="1"/>
    </xf>
    <xf numFmtId="0" fontId="0" fillId="2" borderId="0" xfId="0" applyFont="1" applyFill="1" applyBorder="1" applyAlignment="1">
      <alignment horizontal="left" vertical="center" wrapText="1"/>
    </xf>
    <xf numFmtId="0" fontId="0" fillId="2" borderId="5" xfId="0" applyFont="1" applyFill="1" applyBorder="1" applyAlignment="1">
      <alignment horizontal="left" vertical="center" wrapText="1"/>
    </xf>
    <xf numFmtId="0" fontId="0" fillId="2" borderId="6" xfId="0" applyFont="1" applyFill="1" applyBorder="1" applyAlignment="1">
      <alignment horizontal="left" vertical="center" wrapText="1"/>
    </xf>
    <xf numFmtId="0" fontId="0" fillId="2" borderId="2" xfId="0" applyFont="1" applyFill="1" applyBorder="1" applyAlignment="1">
      <alignment horizontal="left" vertical="center" wrapText="1"/>
    </xf>
    <xf numFmtId="0" fontId="0" fillId="2" borderId="7" xfId="0" applyFont="1" applyFill="1" applyBorder="1" applyAlignment="1">
      <alignment horizontal="left" vertical="center" wrapText="1"/>
    </xf>
    <xf numFmtId="0" fontId="16" fillId="5" borderId="3" xfId="0" applyFont="1" applyFill="1" applyBorder="1" applyAlignment="1">
      <alignment horizontal="left"/>
    </xf>
    <xf numFmtId="0" fontId="16" fillId="5" borderId="8" xfId="0" applyFont="1" applyFill="1" applyBorder="1" applyAlignment="1">
      <alignment horizontal="left"/>
    </xf>
    <xf numFmtId="0" fontId="16" fillId="5" borderId="9" xfId="0" applyFont="1" applyFill="1" applyBorder="1" applyAlignment="1">
      <alignment horizontal="left"/>
    </xf>
    <xf numFmtId="0" fontId="2" fillId="2" borderId="1" xfId="0" applyFont="1" applyFill="1" applyBorder="1" applyAlignment="1">
      <alignment horizontal="left" vertical="center"/>
    </xf>
    <xf numFmtId="0" fontId="2" fillId="2" borderId="10" xfId="0" applyFont="1" applyFill="1" applyBorder="1" applyAlignment="1">
      <alignment horizontal="left" vertical="center"/>
    </xf>
    <xf numFmtId="0" fontId="2" fillId="2" borderId="11" xfId="0" applyFont="1" applyFill="1" applyBorder="1" applyAlignment="1">
      <alignment horizontal="left" vertical="center"/>
    </xf>
    <xf numFmtId="0" fontId="2" fillId="2" borderId="3" xfId="0" applyFont="1" applyFill="1" applyBorder="1" applyAlignment="1">
      <alignment horizontal="left"/>
    </xf>
    <xf numFmtId="0" fontId="2" fillId="2" borderId="8" xfId="0" applyFont="1" applyFill="1" applyBorder="1" applyAlignment="1">
      <alignment horizontal="left"/>
    </xf>
    <xf numFmtId="0" fontId="2" fillId="2" borderId="9" xfId="0" applyFont="1" applyFill="1" applyBorder="1" applyAlignment="1">
      <alignment horizontal="left"/>
    </xf>
    <xf numFmtId="0" fontId="2" fillId="2" borderId="3" xfId="0" applyFont="1" applyFill="1" applyBorder="1" applyAlignment="1">
      <alignment horizontal="left" vertical="center"/>
    </xf>
    <xf numFmtId="0" fontId="2" fillId="2" borderId="8" xfId="0" applyFont="1" applyFill="1" applyBorder="1" applyAlignment="1">
      <alignment horizontal="left" vertical="center"/>
    </xf>
    <xf numFmtId="0" fontId="2" fillId="2" borderId="9" xfId="0" applyFont="1" applyFill="1" applyBorder="1" applyAlignment="1">
      <alignment horizontal="left" vertical="center"/>
    </xf>
    <xf numFmtId="0" fontId="0" fillId="2" borderId="3" xfId="0" applyFill="1" applyBorder="1" applyAlignment="1">
      <alignment horizontal="left" vertical="center"/>
    </xf>
    <xf numFmtId="0" fontId="0" fillId="2" borderId="8" xfId="0" applyFill="1" applyBorder="1" applyAlignment="1">
      <alignment horizontal="left" vertical="center"/>
    </xf>
    <xf numFmtId="0" fontId="0" fillId="2" borderId="9" xfId="0" applyFill="1" applyBorder="1" applyAlignment="1">
      <alignment horizontal="left" vertical="center"/>
    </xf>
    <xf numFmtId="0" fontId="0" fillId="2" borderId="2" xfId="0" applyFill="1" applyBorder="1" applyAlignment="1">
      <alignment horizontal="left"/>
    </xf>
    <xf numFmtId="0" fontId="2" fillId="2" borderId="1" xfId="0" applyFont="1" applyFill="1" applyBorder="1" applyAlignment="1">
      <alignment horizontal="center" vertical="center" wrapText="1"/>
    </xf>
    <xf numFmtId="0" fontId="0" fillId="2" borderId="1" xfId="0" applyFont="1" applyFill="1" applyBorder="1" applyAlignment="1">
      <alignment horizontal="center" vertical="center" wrapText="1"/>
    </xf>
    <xf numFmtId="0" fontId="16" fillId="5" borderId="3" xfId="0" applyFont="1" applyFill="1" applyBorder="1" applyAlignment="1">
      <alignment horizontal="left" vertical="center"/>
    </xf>
    <xf numFmtId="0" fontId="16" fillId="5" borderId="8" xfId="0" applyFont="1" applyFill="1" applyBorder="1" applyAlignment="1">
      <alignment horizontal="left" vertical="center"/>
    </xf>
    <xf numFmtId="0" fontId="16" fillId="5" borderId="9" xfId="0" applyFont="1" applyFill="1" applyBorder="1" applyAlignment="1">
      <alignment horizontal="left" vertical="center"/>
    </xf>
    <xf numFmtId="0" fontId="2" fillId="3" borderId="3"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0" fillId="2" borderId="3" xfId="0" applyFont="1" applyFill="1" applyBorder="1" applyAlignment="1">
      <alignment horizontal="left" vertical="center"/>
    </xf>
    <xf numFmtId="0" fontId="0" fillId="2" borderId="8" xfId="0" applyFont="1" applyFill="1" applyBorder="1" applyAlignment="1">
      <alignment horizontal="left" vertical="center"/>
    </xf>
    <xf numFmtId="0" fontId="0" fillId="2" borderId="9" xfId="0" applyFont="1" applyFill="1" applyBorder="1" applyAlignment="1">
      <alignment horizontal="left" vertical="center"/>
    </xf>
    <xf numFmtId="0" fontId="2" fillId="2" borderId="4"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5" xfId="0" applyFont="1" applyFill="1" applyBorder="1" applyAlignment="1">
      <alignment horizontal="center" vertical="center"/>
    </xf>
    <xf numFmtId="0" fontId="0" fillId="2" borderId="4" xfId="0" applyFont="1" applyFill="1" applyBorder="1" applyAlignment="1">
      <alignment horizontal="center" vertical="center" wrapText="1"/>
    </xf>
    <xf numFmtId="0" fontId="0" fillId="2" borderId="0" xfId="0" applyFont="1" applyFill="1" applyBorder="1" applyAlignment="1">
      <alignment horizontal="center" vertical="center" wrapText="1"/>
    </xf>
    <xf numFmtId="0" fontId="0" fillId="2" borderId="5" xfId="0" applyFont="1" applyFill="1" applyBorder="1" applyAlignment="1">
      <alignment horizontal="center" vertical="center" wrapText="1"/>
    </xf>
    <xf numFmtId="0" fontId="0" fillId="2" borderId="6" xfId="0" applyFont="1" applyFill="1" applyBorder="1" applyAlignment="1">
      <alignment horizontal="center" vertical="center" wrapText="1"/>
    </xf>
    <xf numFmtId="0" fontId="0" fillId="2" borderId="2" xfId="0" applyFont="1" applyFill="1" applyBorder="1" applyAlignment="1">
      <alignment horizontal="center" vertical="center" wrapText="1"/>
    </xf>
    <xf numFmtId="0" fontId="0" fillId="2" borderId="7" xfId="0" applyFont="1" applyFill="1" applyBorder="1" applyAlignment="1">
      <alignment horizontal="center" vertical="center" wrapText="1"/>
    </xf>
  </cellXfs>
  <cellStyles count="94">
    <cellStyle name="20% - Accent1" xfId="20" builtinId="30" customBuiltin="1"/>
    <cellStyle name="20% - Accent1 2" xfId="44"/>
    <cellStyle name="20% - Accent2" xfId="24" builtinId="34" customBuiltin="1"/>
    <cellStyle name="20% - Accent2 2" xfId="45"/>
    <cellStyle name="20% - Accent3" xfId="28" builtinId="38" customBuiltin="1"/>
    <cellStyle name="20% - Accent3 2" xfId="46"/>
    <cellStyle name="20% - Accent4" xfId="32" builtinId="42" customBuiltin="1"/>
    <cellStyle name="20% - Accent4 2" xfId="47"/>
    <cellStyle name="20% - Accent5" xfId="36" builtinId="46" customBuiltin="1"/>
    <cellStyle name="20% - Accent5 2" xfId="48"/>
    <cellStyle name="20% - Accent6" xfId="40" builtinId="50" customBuiltin="1"/>
    <cellStyle name="20% - Accent6 2" xfId="49"/>
    <cellStyle name="40% - Accent1" xfId="21" builtinId="31" customBuiltin="1"/>
    <cellStyle name="40% - Accent1 2" xfId="50"/>
    <cellStyle name="40% - Accent2" xfId="25" builtinId="35" customBuiltin="1"/>
    <cellStyle name="40% - Accent2 2" xfId="51"/>
    <cellStyle name="40% - Accent3" xfId="29" builtinId="39" customBuiltin="1"/>
    <cellStyle name="40% - Accent3 2" xfId="52"/>
    <cellStyle name="40% - Accent4" xfId="33" builtinId="43" customBuiltin="1"/>
    <cellStyle name="40% - Accent4 2" xfId="53"/>
    <cellStyle name="40% - Accent5" xfId="37" builtinId="47" customBuiltin="1"/>
    <cellStyle name="40% - Accent5 2" xfId="54"/>
    <cellStyle name="40% - Accent6" xfId="41" builtinId="51" customBuiltin="1"/>
    <cellStyle name="40% - Accent6 2" xfId="55"/>
    <cellStyle name="60% - Accent1" xfId="22" builtinId="32" customBuiltin="1"/>
    <cellStyle name="60% - Accent1 2" xfId="56"/>
    <cellStyle name="60% - Accent2" xfId="26" builtinId="36" customBuiltin="1"/>
    <cellStyle name="60% - Accent2 2" xfId="57"/>
    <cellStyle name="60% - Accent3" xfId="30" builtinId="40" customBuiltin="1"/>
    <cellStyle name="60% - Accent3 2" xfId="58"/>
    <cellStyle name="60% - Accent4" xfId="34" builtinId="44" customBuiltin="1"/>
    <cellStyle name="60% - Accent4 2" xfId="59"/>
    <cellStyle name="60% - Accent5" xfId="38" builtinId="48" customBuiltin="1"/>
    <cellStyle name="60% - Accent5 2" xfId="60"/>
    <cellStyle name="60% - Accent6" xfId="42" builtinId="52" customBuiltin="1"/>
    <cellStyle name="60% - Accent6 2" xfId="61"/>
    <cellStyle name="Accent1" xfId="19" builtinId="29" customBuiltin="1"/>
    <cellStyle name="Accent1 2" xfId="62"/>
    <cellStyle name="Accent2" xfId="23" builtinId="33" customBuiltin="1"/>
    <cellStyle name="Accent2 2" xfId="63"/>
    <cellStyle name="Accent3" xfId="27" builtinId="37" customBuiltin="1"/>
    <cellStyle name="Accent3 2" xfId="64"/>
    <cellStyle name="Accent4" xfId="31" builtinId="41" customBuiltin="1"/>
    <cellStyle name="Accent4 2" xfId="65"/>
    <cellStyle name="Accent5" xfId="35" builtinId="45" customBuiltin="1"/>
    <cellStyle name="Accent5 2" xfId="66"/>
    <cellStyle name="Accent6" xfId="39" builtinId="49" customBuiltin="1"/>
    <cellStyle name="Accent6 2" xfId="67"/>
    <cellStyle name="Bad" xfId="8" builtinId="27" customBuiltin="1"/>
    <cellStyle name="Bad 2" xfId="68"/>
    <cellStyle name="Calculation" xfId="12" builtinId="22" customBuiltin="1"/>
    <cellStyle name="Calculation 2" xfId="69"/>
    <cellStyle name="Check Cell" xfId="14" builtinId="23" customBuiltin="1"/>
    <cellStyle name="Check Cell 2" xfId="70"/>
    <cellStyle name="Comma 2" xfId="71"/>
    <cellStyle name="Explanatory Text" xfId="17" builtinId="53" customBuiltin="1"/>
    <cellStyle name="Explanatory Text 2" xfId="72"/>
    <cellStyle name="Good" xfId="7" builtinId="26" customBuiltin="1"/>
    <cellStyle name="Good 2" xfId="73"/>
    <cellStyle name="Heading 1" xfId="3" builtinId="16" customBuiltin="1"/>
    <cellStyle name="Heading 1 2" xfId="74"/>
    <cellStyle name="Heading 2" xfId="4" builtinId="17" customBuiltin="1"/>
    <cellStyle name="Heading 2 2" xfId="75"/>
    <cellStyle name="Heading 3" xfId="5" builtinId="18" customBuiltin="1"/>
    <cellStyle name="Heading 3 2" xfId="76"/>
    <cellStyle name="Heading 4" xfId="6" builtinId="19" customBuiltin="1"/>
    <cellStyle name="Heading 4 2" xfId="77"/>
    <cellStyle name="Hyperlink" xfId="1" builtinId="8"/>
    <cellStyle name="Hyperlink 2" xfId="78"/>
    <cellStyle name="Input" xfId="10" builtinId="20" customBuiltin="1"/>
    <cellStyle name="Input 2" xfId="79"/>
    <cellStyle name="Linked Cell" xfId="13" builtinId="24" customBuiltin="1"/>
    <cellStyle name="Linked Cell 2" xfId="80"/>
    <cellStyle name="Neutral" xfId="9" builtinId="28" customBuiltin="1"/>
    <cellStyle name="Neutral 2" xfId="81"/>
    <cellStyle name="Normal" xfId="0" builtinId="0"/>
    <cellStyle name="Normal 2" xfId="43"/>
    <cellStyle name="Normal 2 2" xfId="82"/>
    <cellStyle name="Normal 2 3" xfId="83"/>
    <cellStyle name="Normal 2_Check TI Plant" xfId="84"/>
    <cellStyle name="Normal 3" xfId="85"/>
    <cellStyle name="Normal 4" xfId="86"/>
    <cellStyle name="Normal 5" xfId="87"/>
    <cellStyle name="Note" xfId="16" builtinId="10" customBuiltin="1"/>
    <cellStyle name="Note 2" xfId="88"/>
    <cellStyle name="Output" xfId="11" builtinId="21" customBuiltin="1"/>
    <cellStyle name="Output 2" xfId="89"/>
    <cellStyle name="Percent 2" xfId="90"/>
    <cellStyle name="Title" xfId="2" builtinId="15" customBuiltin="1"/>
    <cellStyle name="Title 2" xfId="91"/>
    <cellStyle name="Total" xfId="18" builtinId="25" customBuiltin="1"/>
    <cellStyle name="Total 2" xfId="92"/>
    <cellStyle name="Warning Text" xfId="15" builtinId="11" customBuiltin="1"/>
    <cellStyle name="Warning Text 2" xfId="93"/>
  </cellStyles>
  <dxfs count="35">
    <dxf>
      <font>
        <b/>
        <i val="0"/>
        <color rgb="FF9C0006"/>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9C0006"/>
      </font>
      <fill>
        <patternFill>
          <bgColor rgb="FF92D050"/>
        </patternFill>
      </fill>
    </dxf>
    <dxf>
      <font>
        <b/>
        <i val="0"/>
        <color rgb="FF9C0006"/>
      </font>
      <fill>
        <patternFill>
          <bgColor rgb="FFFFFF00"/>
        </patternFill>
      </fill>
    </dxf>
    <dxf>
      <font>
        <color rgb="FF9C0006"/>
      </font>
      <fill>
        <patternFill>
          <bgColor rgb="FFFFC7CE"/>
        </patternFill>
      </fill>
    </dxf>
    <dxf>
      <font>
        <color rgb="FF9C0006"/>
      </font>
      <fill>
        <patternFill>
          <bgColor rgb="FFFFC7CE"/>
        </patternFill>
      </fill>
    </dxf>
    <dxf>
      <font>
        <b/>
        <i val="0"/>
        <color rgb="FF9C0006"/>
      </font>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92D050"/>
        </patternFill>
      </fill>
    </dxf>
    <dxf>
      <font>
        <b/>
        <i val="0"/>
        <color rgb="FF9C0006"/>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9C0006"/>
      </font>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8.jpeg"/><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1.png"/><Relationship Id="rId5" Type="http://schemas.openxmlformats.org/officeDocument/2006/relationships/image" Target="../media/image4.jpeg"/><Relationship Id="rId4" Type="http://schemas.openxmlformats.org/officeDocument/2006/relationships/image" Target="../media/image1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9.png"/><Relationship Id="rId1" Type="http://schemas.openxmlformats.org/officeDocument/2006/relationships/image" Target="../media/image1.png"/><Relationship Id="rId5" Type="http://schemas.openxmlformats.org/officeDocument/2006/relationships/image" Target="../media/image14.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9.png"/><Relationship Id="rId1" Type="http://schemas.openxmlformats.org/officeDocument/2006/relationships/image" Target="../media/image1.png"/><Relationship Id="rId5" Type="http://schemas.openxmlformats.org/officeDocument/2006/relationships/image" Target="../media/image7.png"/><Relationship Id="rId4" Type="http://schemas.openxmlformats.org/officeDocument/2006/relationships/image" Target="../media/image16.png"/></Relationships>
</file>

<file path=xl/drawings/_rels/drawing8.xml.rels><?xml version="1.0" encoding="UTF-8" standalone="yes"?>
<Relationships xmlns="http://schemas.openxmlformats.org/package/2006/relationships"><Relationship Id="rId3" Type="http://schemas.openxmlformats.org/officeDocument/2006/relationships/image" Target="../media/image17.png"/><Relationship Id="rId7" Type="http://schemas.openxmlformats.org/officeDocument/2006/relationships/image" Target="../media/image8.jpeg"/><Relationship Id="rId2" Type="http://schemas.openxmlformats.org/officeDocument/2006/relationships/image" Target="../media/image9.png"/><Relationship Id="rId1" Type="http://schemas.openxmlformats.org/officeDocument/2006/relationships/image" Target="../media/image1.png"/><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xdr:from>
      <xdr:col>7</xdr:col>
      <xdr:colOff>20128</xdr:colOff>
      <xdr:row>21</xdr:row>
      <xdr:rowOff>28571</xdr:rowOff>
    </xdr:from>
    <xdr:to>
      <xdr:col>8</xdr:col>
      <xdr:colOff>608700</xdr:colOff>
      <xdr:row>24</xdr:row>
      <xdr:rowOff>33377</xdr:rowOff>
    </xdr:to>
    <xdr:pic>
      <xdr:nvPicPr>
        <xdr:cNvPr id="3" name="Picture 2"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44553" y="4438646"/>
          <a:ext cx="1198172" cy="671556"/>
        </a:xfrm>
        <a:prstGeom prst="rect">
          <a:avLst/>
        </a:prstGeom>
        <a:noFill/>
        <a:ln>
          <a:noFill/>
        </a:ln>
      </xdr:spPr>
    </xdr:pic>
    <xdr:clientData/>
  </xdr:twoCellAnchor>
  <xdr:twoCellAnchor>
    <xdr:from>
      <xdr:col>7</xdr:col>
      <xdr:colOff>104775</xdr:colOff>
      <xdr:row>24</xdr:row>
      <xdr:rowOff>171450</xdr:rowOff>
    </xdr:from>
    <xdr:to>
      <xdr:col>8</xdr:col>
      <xdr:colOff>504825</xdr:colOff>
      <xdr:row>27</xdr:row>
      <xdr:rowOff>76200</xdr:rowOff>
    </xdr:to>
    <xdr:pic>
      <xdr:nvPicPr>
        <xdr:cNvPr id="8" name="Picture 7"/>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476750" y="5305425"/>
          <a:ext cx="752475"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161924</xdr:colOff>
      <xdr:row>28</xdr:row>
      <xdr:rowOff>9524</xdr:rowOff>
    </xdr:from>
    <xdr:to>
      <xdr:col>8</xdr:col>
      <xdr:colOff>266700</xdr:colOff>
      <xdr:row>28</xdr:row>
      <xdr:rowOff>466725</xdr:rowOff>
    </xdr:to>
    <xdr:pic>
      <xdr:nvPicPr>
        <xdr:cNvPr id="11" name="Picture 10"/>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533899" y="5981699"/>
          <a:ext cx="457201" cy="4572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150776</xdr:colOff>
      <xdr:row>6</xdr:row>
      <xdr:rowOff>123825</xdr:rowOff>
    </xdr:from>
    <xdr:to>
      <xdr:col>12</xdr:col>
      <xdr:colOff>904875</xdr:colOff>
      <xdr:row>18</xdr:row>
      <xdr:rowOff>22210</xdr:rowOff>
    </xdr:to>
    <xdr:pic>
      <xdr:nvPicPr>
        <xdr:cNvPr id="5" name="Picture 4" descr="two-phase-vertical-separator-schematic"/>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513351" y="1390650"/>
          <a:ext cx="2420974" cy="23558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20128</xdr:colOff>
      <xdr:row>21</xdr:row>
      <xdr:rowOff>28571</xdr:rowOff>
    </xdr:from>
    <xdr:to>
      <xdr:col>9</xdr:col>
      <xdr:colOff>590550</xdr:colOff>
      <xdr:row>36</xdr:row>
      <xdr:rowOff>146049</xdr:rowOff>
    </xdr:to>
    <xdr:grpSp>
      <xdr:nvGrpSpPr>
        <xdr:cNvPr id="6" name="Group 5"/>
        <xdr:cNvGrpSpPr/>
      </xdr:nvGrpSpPr>
      <xdr:grpSpPr>
        <a:xfrm>
          <a:off x="4506403" y="4391021"/>
          <a:ext cx="1284797" cy="3927478"/>
          <a:chOff x="4230178" y="4190996"/>
          <a:chExt cx="1818197" cy="3403603"/>
        </a:xfrm>
      </xdr:grpSpPr>
      <xdr:pic>
        <xdr:nvPicPr>
          <xdr:cNvPr id="2" name="Picture 1"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0178" y="4190996"/>
            <a:ext cx="1198172" cy="804906"/>
          </a:xfrm>
          <a:prstGeom prst="rect">
            <a:avLst/>
          </a:prstGeom>
          <a:noFill/>
          <a:ln>
            <a:noFill/>
          </a:ln>
        </xdr:spPr>
      </xdr:pic>
      <xdr:pic>
        <xdr:nvPicPr>
          <xdr:cNvPr id="3" name="Picture 2"/>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371975" y="5372100"/>
            <a:ext cx="1009650" cy="5143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4" name="Picture 3"/>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429125" y="6000750"/>
            <a:ext cx="600075" cy="39052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Picture 4" descr="C:\Users\ajas\AppData\Local\Microsoft\Windows\Temporary Internet Files\Content.Word\6.png"/>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248151" y="6467474"/>
            <a:ext cx="1800224" cy="1127125"/>
          </a:xfrm>
          <a:prstGeom prst="rect">
            <a:avLst/>
          </a:prstGeom>
          <a:noFill/>
          <a:ln>
            <a:noFill/>
          </a:ln>
        </xdr:spPr>
      </xdr:pic>
    </xdr:grpSp>
    <xdr:clientData/>
  </xdr:twoCellAnchor>
  <xdr:twoCellAnchor editAs="oneCell">
    <xdr:from>
      <xdr:col>9</xdr:col>
      <xdr:colOff>66677</xdr:colOff>
      <xdr:row>9</xdr:row>
      <xdr:rowOff>95251</xdr:rowOff>
    </xdr:from>
    <xdr:to>
      <xdr:col>12</xdr:col>
      <xdr:colOff>1183293</xdr:colOff>
      <xdr:row>17</xdr:row>
      <xdr:rowOff>76201</xdr:rowOff>
    </xdr:to>
    <xdr:pic>
      <xdr:nvPicPr>
        <xdr:cNvPr id="8" name="Picture 7"/>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276852" y="1847851"/>
          <a:ext cx="2812066"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9526</xdr:colOff>
      <xdr:row>31</xdr:row>
      <xdr:rowOff>9525</xdr:rowOff>
    </xdr:from>
    <xdr:to>
      <xdr:col>4</xdr:col>
      <xdr:colOff>19050</xdr:colOff>
      <xdr:row>31</xdr:row>
      <xdr:rowOff>381001</xdr:rowOff>
    </xdr:to>
    <xdr:sp macro="[0]!GoalSeek5B" textlink="">
      <xdr:nvSpPr>
        <xdr:cNvPr id="9" name="TextBox 8"/>
        <xdr:cNvSpPr txBox="1"/>
      </xdr:nvSpPr>
      <xdr:spPr>
        <a:xfrm>
          <a:off x="1390651" y="6991350"/>
          <a:ext cx="657224" cy="3714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50000" t="50000" r="50000" b="50000"/>
          </a:path>
          <a:tileRect/>
        </a:gradFill>
        <a:ln w="317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rgbClr val="0070C0"/>
              </a:solidFill>
            </a:rPr>
            <a:t>Click me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20128</xdr:colOff>
      <xdr:row>23</xdr:row>
      <xdr:rowOff>28572</xdr:rowOff>
    </xdr:from>
    <xdr:to>
      <xdr:col>8</xdr:col>
      <xdr:colOff>608700</xdr:colOff>
      <xdr:row>31</xdr:row>
      <xdr:rowOff>60519</xdr:rowOff>
    </xdr:to>
    <xdr:grpSp>
      <xdr:nvGrpSpPr>
        <xdr:cNvPr id="2" name="Group 1"/>
        <xdr:cNvGrpSpPr/>
      </xdr:nvGrpSpPr>
      <xdr:grpSpPr>
        <a:xfrm>
          <a:off x="4525453" y="4886322"/>
          <a:ext cx="607622" cy="2165547"/>
          <a:chOff x="4230178" y="4190996"/>
          <a:chExt cx="1198172" cy="2200279"/>
        </a:xfrm>
      </xdr:grpSpPr>
      <xdr:pic>
        <xdr:nvPicPr>
          <xdr:cNvPr id="3" name="Picture 2"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0178" y="4190996"/>
            <a:ext cx="1198172" cy="804906"/>
          </a:xfrm>
          <a:prstGeom prst="rect">
            <a:avLst/>
          </a:prstGeom>
          <a:noFill/>
          <a:ln>
            <a:noFill/>
          </a:ln>
        </xdr:spPr>
      </xdr:pic>
      <xdr:pic>
        <xdr:nvPicPr>
          <xdr:cNvPr id="4" name="Picture 3"/>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371975" y="5372100"/>
            <a:ext cx="1009650" cy="5143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Picture 4"/>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429125" y="6000750"/>
            <a:ext cx="600075" cy="390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9</xdr:col>
      <xdr:colOff>85725</xdr:colOff>
      <xdr:row>6</xdr:row>
      <xdr:rowOff>98760</xdr:rowOff>
    </xdr:from>
    <xdr:to>
      <xdr:col>12</xdr:col>
      <xdr:colOff>1127271</xdr:colOff>
      <xdr:row>19</xdr:row>
      <xdr:rowOff>57150</xdr:rowOff>
    </xdr:to>
    <xdr:pic>
      <xdr:nvPicPr>
        <xdr:cNvPr id="6" name="Picture 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48325" y="1203660"/>
          <a:ext cx="2736996" cy="2720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20128</xdr:colOff>
      <xdr:row>23</xdr:row>
      <xdr:rowOff>28571</xdr:rowOff>
    </xdr:from>
    <xdr:to>
      <xdr:col>8</xdr:col>
      <xdr:colOff>608700</xdr:colOff>
      <xdr:row>31</xdr:row>
      <xdr:rowOff>66675</xdr:rowOff>
    </xdr:to>
    <xdr:grpSp>
      <xdr:nvGrpSpPr>
        <xdr:cNvPr id="2" name="Group 1"/>
        <xdr:cNvGrpSpPr/>
      </xdr:nvGrpSpPr>
      <xdr:grpSpPr>
        <a:xfrm>
          <a:off x="4439728" y="4886321"/>
          <a:ext cx="664772" cy="2085979"/>
          <a:chOff x="4230178" y="4190996"/>
          <a:chExt cx="1198172" cy="2200279"/>
        </a:xfrm>
      </xdr:grpSpPr>
      <xdr:pic>
        <xdr:nvPicPr>
          <xdr:cNvPr id="3" name="Picture 2"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0178" y="4190996"/>
            <a:ext cx="1198172" cy="804906"/>
          </a:xfrm>
          <a:prstGeom prst="rect">
            <a:avLst/>
          </a:prstGeom>
          <a:noFill/>
          <a:ln>
            <a:noFill/>
          </a:ln>
        </xdr:spPr>
      </xdr:pic>
      <xdr:pic>
        <xdr:nvPicPr>
          <xdr:cNvPr id="4" name="Picture 3"/>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371975" y="5372100"/>
            <a:ext cx="1009650" cy="5143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Picture 4"/>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429125" y="6000750"/>
            <a:ext cx="600075" cy="390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7</xdr:col>
      <xdr:colOff>57150</xdr:colOff>
      <xdr:row>32</xdr:row>
      <xdr:rowOff>66675</xdr:rowOff>
    </xdr:from>
    <xdr:to>
      <xdr:col>10</xdr:col>
      <xdr:colOff>0</xdr:colOff>
      <xdr:row>37</xdr:row>
      <xdr:rowOff>114300</xdr:rowOff>
    </xdr:to>
    <xdr:pic>
      <xdr:nvPicPr>
        <xdr:cNvPr id="7" name="Picture 6" descr="C:\Users\ajas\AppData\Local\Microsoft\Windows\Temporary Internet Files\Content.Word\6.png"/>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76750" y="7315200"/>
          <a:ext cx="1238250" cy="1371600"/>
        </a:xfrm>
        <a:prstGeom prst="rect">
          <a:avLst/>
        </a:prstGeom>
        <a:noFill/>
        <a:ln>
          <a:noFill/>
        </a:ln>
      </xdr:spPr>
    </xdr:pic>
    <xdr:clientData/>
  </xdr:twoCellAnchor>
  <xdr:twoCellAnchor>
    <xdr:from>
      <xdr:col>9</xdr:col>
      <xdr:colOff>104775</xdr:colOff>
      <xdr:row>8</xdr:row>
      <xdr:rowOff>38099</xdr:rowOff>
    </xdr:from>
    <xdr:to>
      <xdr:col>12</xdr:col>
      <xdr:colOff>1183563</xdr:colOff>
      <xdr:row>17</xdr:row>
      <xdr:rowOff>133349</xdr:rowOff>
    </xdr:to>
    <xdr:pic>
      <xdr:nvPicPr>
        <xdr:cNvPr id="8" name="Picture 7" descr="horizontal-three-phase-separator-bucket-weird"/>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562600" y="1562099"/>
          <a:ext cx="2774238" cy="2009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9526</xdr:colOff>
      <xdr:row>33</xdr:row>
      <xdr:rowOff>19050</xdr:rowOff>
    </xdr:from>
    <xdr:to>
      <xdr:col>4</xdr:col>
      <xdr:colOff>0</xdr:colOff>
      <xdr:row>33</xdr:row>
      <xdr:rowOff>390526</xdr:rowOff>
    </xdr:to>
    <xdr:sp macro="[0]!GoalSeek5D" textlink="">
      <xdr:nvSpPr>
        <xdr:cNvPr id="9" name="TextBox 8"/>
        <xdr:cNvSpPr txBox="1"/>
      </xdr:nvSpPr>
      <xdr:spPr>
        <a:xfrm>
          <a:off x="1419226" y="7381875"/>
          <a:ext cx="542924" cy="3714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50000" t="50000" r="50000" b="50000"/>
          </a:path>
          <a:tileRect/>
        </a:gradFill>
        <a:ln w="317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rgbClr val="0070C0"/>
              </a:solidFill>
            </a:rPr>
            <a:t>Click 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295275</xdr:colOff>
      <xdr:row>19</xdr:row>
      <xdr:rowOff>171448</xdr:rowOff>
    </xdr:from>
    <xdr:to>
      <xdr:col>11</xdr:col>
      <xdr:colOff>104775</xdr:colOff>
      <xdr:row>35</xdr:row>
      <xdr:rowOff>76199</xdr:rowOff>
    </xdr:to>
    <xdr:grpSp>
      <xdr:nvGrpSpPr>
        <xdr:cNvPr id="6" name="Group 5"/>
        <xdr:cNvGrpSpPr/>
      </xdr:nvGrpSpPr>
      <xdr:grpSpPr>
        <a:xfrm>
          <a:off x="5353050" y="4257673"/>
          <a:ext cx="1628775" cy="3590926"/>
          <a:chOff x="4924425" y="3381374"/>
          <a:chExt cx="2019300" cy="3095626"/>
        </a:xfrm>
      </xdr:grpSpPr>
      <xdr:pic>
        <xdr:nvPicPr>
          <xdr:cNvPr id="2" name="Picture 1"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33950" y="3381374"/>
            <a:ext cx="1076324" cy="638175"/>
          </a:xfrm>
          <a:prstGeom prst="rect">
            <a:avLst/>
          </a:prstGeom>
          <a:noFill/>
          <a:ln>
            <a:noFill/>
          </a:ln>
        </xdr:spPr>
      </xdr:pic>
      <xdr:pic>
        <xdr:nvPicPr>
          <xdr:cNvPr id="3" name="Picture 2" descr="C:\Users\ajas\Desktop\2.png"/>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33950" y="4162426"/>
            <a:ext cx="1809750" cy="1333499"/>
          </a:xfrm>
          <a:prstGeom prst="rect">
            <a:avLst/>
          </a:prstGeom>
          <a:noFill/>
          <a:ln>
            <a:noFill/>
          </a:ln>
        </xdr:spPr>
      </xdr:pic>
      <xdr:pic>
        <xdr:nvPicPr>
          <xdr:cNvPr id="4" name="Picture 3" descr="C:\Users\ajas\Desktop\3.png"/>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924425" y="5905500"/>
            <a:ext cx="2019300" cy="571500"/>
          </a:xfrm>
          <a:prstGeom prst="rect">
            <a:avLst/>
          </a:prstGeom>
          <a:noFill/>
          <a:ln>
            <a:noFill/>
          </a:ln>
        </xdr:spPr>
      </xdr:pic>
    </xdr:grpSp>
    <xdr:clientData/>
  </xdr:twoCellAnchor>
  <xdr:twoCellAnchor editAs="oneCell">
    <xdr:from>
      <xdr:col>7</xdr:col>
      <xdr:colOff>323849</xdr:colOff>
      <xdr:row>35</xdr:row>
      <xdr:rowOff>171449</xdr:rowOff>
    </xdr:from>
    <xdr:to>
      <xdr:col>11</xdr:col>
      <xdr:colOff>361949</xdr:colOff>
      <xdr:row>41</xdr:row>
      <xdr:rowOff>133349</xdr:rowOff>
    </xdr:to>
    <xdr:pic>
      <xdr:nvPicPr>
        <xdr:cNvPr id="5" name="Picture 4" descr="C:\Users\ajas\Desktop\5.png"/>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381624" y="7943849"/>
          <a:ext cx="1857375" cy="1171575"/>
        </a:xfrm>
        <a:prstGeom prst="rect">
          <a:avLst/>
        </a:prstGeom>
        <a:noFill/>
        <a:ln>
          <a:noFill/>
        </a:ln>
      </xdr:spPr>
    </xdr:pic>
    <xdr:clientData/>
  </xdr:twoCellAnchor>
  <xdr:twoCellAnchor>
    <xdr:from>
      <xdr:col>9</xdr:col>
      <xdr:colOff>46001</xdr:colOff>
      <xdr:row>7</xdr:row>
      <xdr:rowOff>142875</xdr:rowOff>
    </xdr:from>
    <xdr:to>
      <xdr:col>11</xdr:col>
      <xdr:colOff>516992</xdr:colOff>
      <xdr:row>16</xdr:row>
      <xdr:rowOff>0</xdr:rowOff>
    </xdr:to>
    <xdr:pic>
      <xdr:nvPicPr>
        <xdr:cNvPr id="7" name="Picture 6" descr="two-phase-vertical-separator-schematic"/>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446676" y="1514475"/>
          <a:ext cx="1690191" cy="1733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590551</xdr:colOff>
      <xdr:row>28</xdr:row>
      <xdr:rowOff>9525</xdr:rowOff>
    </xdr:from>
    <xdr:to>
      <xdr:col>3</xdr:col>
      <xdr:colOff>542925</xdr:colOff>
      <xdr:row>28</xdr:row>
      <xdr:rowOff>381001</xdr:rowOff>
    </xdr:to>
    <xdr:sp macro="[0]!GoalSeek6A" textlink="">
      <xdr:nvSpPr>
        <xdr:cNvPr id="9" name="TextBox 8"/>
        <xdr:cNvSpPr txBox="1"/>
      </xdr:nvSpPr>
      <xdr:spPr>
        <a:xfrm>
          <a:off x="1457326" y="6019800"/>
          <a:ext cx="561974" cy="3714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50000" t="50000" r="50000" b="50000"/>
          </a:path>
          <a:tileRect/>
        </a:gradFill>
        <a:ln w="317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rgbClr val="0070C0"/>
              </a:solidFill>
            </a:rPr>
            <a:t>Click 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305877</xdr:colOff>
      <xdr:row>20</xdr:row>
      <xdr:rowOff>171448</xdr:rowOff>
    </xdr:from>
    <xdr:to>
      <xdr:col>12</xdr:col>
      <xdr:colOff>491704</xdr:colOff>
      <xdr:row>31</xdr:row>
      <xdr:rowOff>97916</xdr:rowOff>
    </xdr:to>
    <xdr:grpSp>
      <xdr:nvGrpSpPr>
        <xdr:cNvPr id="2" name="Group 1"/>
        <xdr:cNvGrpSpPr/>
      </xdr:nvGrpSpPr>
      <xdr:grpSpPr>
        <a:xfrm>
          <a:off x="5163627" y="4448173"/>
          <a:ext cx="1385977" cy="2383918"/>
          <a:chOff x="4933950" y="3381374"/>
          <a:chExt cx="1809750" cy="2114551"/>
        </a:xfrm>
      </xdr:grpSpPr>
      <xdr:pic>
        <xdr:nvPicPr>
          <xdr:cNvPr id="3" name="Picture 2"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33950" y="3381374"/>
            <a:ext cx="1076324" cy="638175"/>
          </a:xfrm>
          <a:prstGeom prst="rect">
            <a:avLst/>
          </a:prstGeom>
          <a:noFill/>
          <a:ln>
            <a:noFill/>
          </a:ln>
        </xdr:spPr>
      </xdr:pic>
      <xdr:pic>
        <xdr:nvPicPr>
          <xdr:cNvPr id="4" name="Picture 3" descr="C:\Users\ajas\Desktop\2.png"/>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33950" y="4162426"/>
            <a:ext cx="1809750" cy="1333499"/>
          </a:xfrm>
          <a:prstGeom prst="rect">
            <a:avLst/>
          </a:prstGeom>
          <a:noFill/>
          <a:ln>
            <a:noFill/>
          </a:ln>
        </xdr:spPr>
      </xdr:pic>
    </xdr:grpSp>
    <xdr:clientData/>
  </xdr:twoCellAnchor>
  <xdr:twoCellAnchor editAs="oneCell">
    <xdr:from>
      <xdr:col>9</xdr:col>
      <xdr:colOff>200026</xdr:colOff>
      <xdr:row>32</xdr:row>
      <xdr:rowOff>47625</xdr:rowOff>
    </xdr:from>
    <xdr:to>
      <xdr:col>14</xdr:col>
      <xdr:colOff>304801</xdr:colOff>
      <xdr:row>35</xdr:row>
      <xdr:rowOff>161925</xdr:rowOff>
    </xdr:to>
    <xdr:pic>
      <xdr:nvPicPr>
        <xdr:cNvPr id="7" name="Picture 6" descr="C:\Users\ajas\Desktop\6.png"/>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00626" y="6296025"/>
          <a:ext cx="2495550" cy="685800"/>
        </a:xfrm>
        <a:prstGeom prst="rect">
          <a:avLst/>
        </a:prstGeom>
        <a:noFill/>
        <a:ln>
          <a:noFill/>
        </a:ln>
      </xdr:spPr>
    </xdr:pic>
    <xdr:clientData/>
  </xdr:twoCellAnchor>
  <xdr:twoCellAnchor editAs="oneCell">
    <xdr:from>
      <xdr:col>9</xdr:col>
      <xdr:colOff>247651</xdr:colOff>
      <xdr:row>37</xdr:row>
      <xdr:rowOff>38100</xdr:rowOff>
    </xdr:from>
    <xdr:to>
      <xdr:col>12</xdr:col>
      <xdr:colOff>95250</xdr:colOff>
      <xdr:row>39</xdr:row>
      <xdr:rowOff>304800</xdr:rowOff>
    </xdr:to>
    <xdr:pic>
      <xdr:nvPicPr>
        <xdr:cNvPr id="8" name="Picture 7" descr="C:\Users\ajas\Desktop\7.png"/>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143501" y="7096125"/>
          <a:ext cx="1019174" cy="647700"/>
        </a:xfrm>
        <a:prstGeom prst="rect">
          <a:avLst/>
        </a:prstGeom>
        <a:noFill/>
        <a:ln>
          <a:noFill/>
        </a:ln>
      </xdr:spPr>
    </xdr:pic>
    <xdr:clientData/>
  </xdr:twoCellAnchor>
  <xdr:twoCellAnchor editAs="oneCell">
    <xdr:from>
      <xdr:col>11</xdr:col>
      <xdr:colOff>66677</xdr:colOff>
      <xdr:row>8</xdr:row>
      <xdr:rowOff>95251</xdr:rowOff>
    </xdr:from>
    <xdr:to>
      <xdr:col>15</xdr:col>
      <xdr:colOff>2193</xdr:colOff>
      <xdr:row>16</xdr:row>
      <xdr:rowOff>85726</xdr:rowOff>
    </xdr:to>
    <xdr:pic>
      <xdr:nvPicPr>
        <xdr:cNvPr id="9" name="Picture 8"/>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267327" y="2038351"/>
          <a:ext cx="2812066"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0</xdr:colOff>
      <xdr:row>28</xdr:row>
      <xdr:rowOff>190499</xdr:rowOff>
    </xdr:from>
    <xdr:to>
      <xdr:col>4</xdr:col>
      <xdr:colOff>9524</xdr:colOff>
      <xdr:row>30</xdr:row>
      <xdr:rowOff>9524</xdr:rowOff>
    </xdr:to>
    <xdr:sp macro="[0]!GoalSeek6B" textlink="">
      <xdr:nvSpPr>
        <xdr:cNvPr id="10" name="TextBox 9"/>
        <xdr:cNvSpPr txBox="1"/>
      </xdr:nvSpPr>
      <xdr:spPr>
        <a:xfrm>
          <a:off x="1457325" y="6162674"/>
          <a:ext cx="561974" cy="409575"/>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50000" t="50000" r="50000" b="50000"/>
          </a:path>
          <a:tileRect/>
        </a:gradFill>
        <a:ln w="317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rgbClr val="0070C0"/>
              </a:solidFill>
            </a:rPr>
            <a:t>Click me</a:t>
          </a:r>
        </a:p>
      </xdr:txBody>
    </xdr:sp>
    <xdr:clientData/>
  </xdr:twoCellAnchor>
  <xdr:twoCellAnchor>
    <xdr:from>
      <xdr:col>2</xdr:col>
      <xdr:colOff>590551</xdr:colOff>
      <xdr:row>29</xdr:row>
      <xdr:rowOff>9525</xdr:rowOff>
    </xdr:from>
    <xdr:to>
      <xdr:col>3</xdr:col>
      <xdr:colOff>542925</xdr:colOff>
      <xdr:row>29</xdr:row>
      <xdr:rowOff>381001</xdr:rowOff>
    </xdr:to>
    <xdr:sp macro="[0]!GoalSeek6B" textlink="">
      <xdr:nvSpPr>
        <xdr:cNvPr id="11" name="TextBox 10"/>
        <xdr:cNvSpPr txBox="1"/>
      </xdr:nvSpPr>
      <xdr:spPr>
        <a:xfrm>
          <a:off x="1457326" y="6019800"/>
          <a:ext cx="561974" cy="3714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50000" t="50000" r="50000" b="50000"/>
          </a:path>
          <a:tileRect/>
        </a:gradFill>
        <a:ln w="317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rgbClr val="0070C0"/>
              </a:solidFill>
            </a:rPr>
            <a:t>Click 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420178</xdr:colOff>
      <xdr:row>25</xdr:row>
      <xdr:rowOff>19050</xdr:rowOff>
    </xdr:from>
    <xdr:to>
      <xdr:col>10</xdr:col>
      <xdr:colOff>561976</xdr:colOff>
      <xdr:row>39</xdr:row>
      <xdr:rowOff>438</xdr:rowOff>
    </xdr:to>
    <xdr:grpSp>
      <xdr:nvGrpSpPr>
        <xdr:cNvPr id="2" name="Group 1"/>
        <xdr:cNvGrpSpPr/>
      </xdr:nvGrpSpPr>
      <xdr:grpSpPr>
        <a:xfrm>
          <a:off x="5516053" y="5372100"/>
          <a:ext cx="1465773" cy="2905563"/>
          <a:chOff x="4933950" y="3381374"/>
          <a:chExt cx="1809750" cy="2114551"/>
        </a:xfrm>
      </xdr:grpSpPr>
      <xdr:pic>
        <xdr:nvPicPr>
          <xdr:cNvPr id="3" name="Picture 2"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33950" y="3381374"/>
            <a:ext cx="1076324" cy="638175"/>
          </a:xfrm>
          <a:prstGeom prst="rect">
            <a:avLst/>
          </a:prstGeom>
          <a:noFill/>
          <a:ln>
            <a:noFill/>
          </a:ln>
        </xdr:spPr>
      </xdr:pic>
      <xdr:pic>
        <xdr:nvPicPr>
          <xdr:cNvPr id="4" name="Picture 3" descr="C:\Users\ajas\Desktop\2.png"/>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33950" y="4162426"/>
            <a:ext cx="1809750" cy="1333499"/>
          </a:xfrm>
          <a:prstGeom prst="rect">
            <a:avLst/>
          </a:prstGeom>
          <a:noFill/>
          <a:ln>
            <a:noFill/>
          </a:ln>
        </xdr:spPr>
      </xdr:pic>
    </xdr:grpSp>
    <xdr:clientData/>
  </xdr:twoCellAnchor>
  <xdr:twoCellAnchor editAs="oneCell">
    <xdr:from>
      <xdr:col>7</xdr:col>
      <xdr:colOff>523874</xdr:colOff>
      <xdr:row>39</xdr:row>
      <xdr:rowOff>76199</xdr:rowOff>
    </xdr:from>
    <xdr:to>
      <xdr:col>12</xdr:col>
      <xdr:colOff>133349</xdr:colOff>
      <xdr:row>44</xdr:row>
      <xdr:rowOff>28575</xdr:rowOff>
    </xdr:to>
    <xdr:pic>
      <xdr:nvPicPr>
        <xdr:cNvPr id="8" name="Picture 7"/>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515099" y="8391524"/>
          <a:ext cx="2257425" cy="1028701"/>
        </a:xfrm>
        <a:prstGeom prst="rect">
          <a:avLst/>
        </a:prstGeom>
        <a:noFill/>
        <a:ln>
          <a:noFill/>
        </a:ln>
      </xdr:spPr>
    </xdr:pic>
    <xdr:clientData/>
  </xdr:twoCellAnchor>
  <xdr:twoCellAnchor editAs="oneCell">
    <xdr:from>
      <xdr:col>7</xdr:col>
      <xdr:colOff>438150</xdr:colOff>
      <xdr:row>44</xdr:row>
      <xdr:rowOff>133350</xdr:rowOff>
    </xdr:from>
    <xdr:to>
      <xdr:col>12</xdr:col>
      <xdr:colOff>133350</xdr:colOff>
      <xdr:row>46</xdr:row>
      <xdr:rowOff>47625</xdr:rowOff>
    </xdr:to>
    <xdr:pic>
      <xdr:nvPicPr>
        <xdr:cNvPr id="9" name="Picture 8"/>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429375" y="9525000"/>
          <a:ext cx="2257425" cy="295275"/>
        </a:xfrm>
        <a:prstGeom prst="rect">
          <a:avLst/>
        </a:prstGeom>
        <a:noFill/>
        <a:ln>
          <a:noFill/>
        </a:ln>
      </xdr:spPr>
    </xdr:pic>
    <xdr:clientData/>
  </xdr:twoCellAnchor>
  <xdr:twoCellAnchor editAs="oneCell">
    <xdr:from>
      <xdr:col>9</xdr:col>
      <xdr:colOff>85725</xdr:colOff>
      <xdr:row>8</xdr:row>
      <xdr:rowOff>98760</xdr:rowOff>
    </xdr:from>
    <xdr:to>
      <xdr:col>13</xdr:col>
      <xdr:colOff>3321</xdr:colOff>
      <xdr:row>21</xdr:row>
      <xdr:rowOff>57150</xdr:rowOff>
    </xdr:to>
    <xdr:pic>
      <xdr:nvPicPr>
        <xdr:cNvPr id="7" name="Picture 6"/>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219700" y="1394160"/>
          <a:ext cx="2736996" cy="2720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657224</xdr:colOff>
      <xdr:row>33</xdr:row>
      <xdr:rowOff>0</xdr:rowOff>
    </xdr:from>
    <xdr:to>
      <xdr:col>4</xdr:col>
      <xdr:colOff>28574</xdr:colOff>
      <xdr:row>34</xdr:row>
      <xdr:rowOff>0</xdr:rowOff>
    </xdr:to>
    <xdr:sp macro="[0]!GoalSeek6C" textlink="">
      <xdr:nvSpPr>
        <xdr:cNvPr id="10" name="TextBox 9"/>
        <xdr:cNvSpPr txBox="1"/>
      </xdr:nvSpPr>
      <xdr:spPr>
        <a:xfrm>
          <a:off x="1609724" y="7048500"/>
          <a:ext cx="581025" cy="190500"/>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50000" t="50000" r="50000" b="50000"/>
          </a:path>
          <a:tileRect/>
        </a:gradFill>
        <a:ln w="317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rgbClr val="0070C0"/>
              </a:solidFill>
            </a:rPr>
            <a:t>Click me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76199</xdr:colOff>
      <xdr:row>25</xdr:row>
      <xdr:rowOff>133350</xdr:rowOff>
    </xdr:from>
    <xdr:to>
      <xdr:col>14</xdr:col>
      <xdr:colOff>123824</xdr:colOff>
      <xdr:row>49</xdr:row>
      <xdr:rowOff>180975</xdr:rowOff>
    </xdr:to>
    <xdr:grpSp>
      <xdr:nvGrpSpPr>
        <xdr:cNvPr id="17" name="Group 16"/>
        <xdr:cNvGrpSpPr/>
      </xdr:nvGrpSpPr>
      <xdr:grpSpPr>
        <a:xfrm>
          <a:off x="6038849" y="5524500"/>
          <a:ext cx="1866900" cy="4991100"/>
          <a:chOff x="5657849" y="5067300"/>
          <a:chExt cx="2486025" cy="6038850"/>
        </a:xfrm>
      </xdr:grpSpPr>
      <xdr:grpSp>
        <xdr:nvGrpSpPr>
          <xdr:cNvPr id="10" name="Group 9"/>
          <xdr:cNvGrpSpPr/>
        </xdr:nvGrpSpPr>
        <xdr:grpSpPr>
          <a:xfrm>
            <a:off x="5734050" y="5067300"/>
            <a:ext cx="1990725" cy="2688717"/>
            <a:chOff x="4933950" y="3381374"/>
            <a:chExt cx="1809750" cy="2114551"/>
          </a:xfrm>
        </xdr:grpSpPr>
        <xdr:pic>
          <xdr:nvPicPr>
            <xdr:cNvPr id="11" name="Picture 10"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33950" y="3381374"/>
              <a:ext cx="1076324" cy="638175"/>
            </a:xfrm>
            <a:prstGeom prst="rect">
              <a:avLst/>
            </a:prstGeom>
            <a:noFill/>
            <a:ln>
              <a:noFill/>
            </a:ln>
          </xdr:spPr>
        </xdr:pic>
        <xdr:pic>
          <xdr:nvPicPr>
            <xdr:cNvPr id="12" name="Picture 11" descr="C:\Users\ajas\Desktop\2.png"/>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33950" y="4162426"/>
              <a:ext cx="1809750" cy="1333499"/>
            </a:xfrm>
            <a:prstGeom prst="rect">
              <a:avLst/>
            </a:prstGeom>
            <a:noFill/>
            <a:ln>
              <a:noFill/>
            </a:ln>
          </xdr:spPr>
        </xdr:pic>
      </xdr:grpSp>
      <xdr:pic>
        <xdr:nvPicPr>
          <xdr:cNvPr id="13" name="Picture 12" descr="C:\Users\ajas\AppData\Local\Microsoft\Windows\Temporary Internet Files\Content.Word\1.png"/>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05475" y="9667875"/>
            <a:ext cx="2066925" cy="1123949"/>
          </a:xfrm>
          <a:prstGeom prst="rect">
            <a:avLst/>
          </a:prstGeom>
          <a:noFill/>
          <a:ln>
            <a:noFill/>
          </a:ln>
        </xdr:spPr>
      </xdr:pic>
      <xdr:pic>
        <xdr:nvPicPr>
          <xdr:cNvPr id="14" name="Picture 13"/>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29300" y="8143875"/>
            <a:ext cx="1124647" cy="4476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5" name="Picture 14" descr="C:\Users\ajas\Desktop\2.png"/>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657849" y="8801101"/>
            <a:ext cx="2486025" cy="628650"/>
          </a:xfrm>
          <a:prstGeom prst="rect">
            <a:avLst/>
          </a:prstGeom>
          <a:noFill/>
          <a:ln>
            <a:noFill/>
          </a:ln>
        </xdr:spPr>
      </xdr:pic>
      <xdr:pic>
        <xdr:nvPicPr>
          <xdr:cNvPr id="16" name="Picture 15" descr="C:\Users\ajas\AppData\Local\Microsoft\Windows\Temporary Internet Files\Content.Word\3.png"/>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67375" y="10848975"/>
            <a:ext cx="1809750" cy="257175"/>
          </a:xfrm>
          <a:prstGeom prst="rect">
            <a:avLst/>
          </a:prstGeom>
          <a:noFill/>
          <a:ln>
            <a:noFill/>
          </a:ln>
        </xdr:spPr>
      </xdr:pic>
    </xdr:grpSp>
    <xdr:clientData/>
  </xdr:twoCellAnchor>
  <xdr:twoCellAnchor>
    <xdr:from>
      <xdr:col>12</xdr:col>
      <xdr:colOff>57150</xdr:colOff>
      <xdr:row>10</xdr:row>
      <xdr:rowOff>38099</xdr:rowOff>
    </xdr:from>
    <xdr:to>
      <xdr:col>15</xdr:col>
      <xdr:colOff>564438</xdr:colOff>
      <xdr:row>19</xdr:row>
      <xdr:rowOff>133349</xdr:rowOff>
    </xdr:to>
    <xdr:pic>
      <xdr:nvPicPr>
        <xdr:cNvPr id="19" name="Picture 18" descr="horizontal-three-phase-separator-bucket-weird"/>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486525" y="2266949"/>
          <a:ext cx="2336088" cy="1924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657224</xdr:colOff>
      <xdr:row>34</xdr:row>
      <xdr:rowOff>1</xdr:rowOff>
    </xdr:from>
    <xdr:to>
      <xdr:col>3</xdr:col>
      <xdr:colOff>619124</xdr:colOff>
      <xdr:row>35</xdr:row>
      <xdr:rowOff>0</xdr:rowOff>
    </xdr:to>
    <xdr:sp macro="[0]!GoalSeek6D" textlink="">
      <xdr:nvSpPr>
        <xdr:cNvPr id="18" name="TextBox 17"/>
        <xdr:cNvSpPr txBox="1"/>
      </xdr:nvSpPr>
      <xdr:spPr>
        <a:xfrm>
          <a:off x="1562099" y="7258051"/>
          <a:ext cx="619125" cy="190499"/>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50000" t="50000" r="50000" b="50000"/>
          </a:path>
          <a:tileRect/>
        </a:gradFill>
        <a:ln w="317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rgbClr val="0070C0"/>
              </a:solidFill>
            </a:rPr>
            <a:t>Click me</a:t>
          </a:r>
        </a:p>
      </xdr:txBody>
    </xdr:sp>
    <xdr:clientData/>
  </xdr:twoCellAnchor>
  <xdr:twoCellAnchor>
    <xdr:from>
      <xdr:col>2</xdr:col>
      <xdr:colOff>657224</xdr:colOff>
      <xdr:row>41</xdr:row>
      <xdr:rowOff>1</xdr:rowOff>
    </xdr:from>
    <xdr:to>
      <xdr:col>3</xdr:col>
      <xdr:colOff>619124</xdr:colOff>
      <xdr:row>42</xdr:row>
      <xdr:rowOff>0</xdr:rowOff>
    </xdr:to>
    <xdr:sp macro="[0]!GoalSeek6D2" textlink="">
      <xdr:nvSpPr>
        <xdr:cNvPr id="21" name="TextBox 20"/>
        <xdr:cNvSpPr txBox="1"/>
      </xdr:nvSpPr>
      <xdr:spPr>
        <a:xfrm>
          <a:off x="1562099" y="7258051"/>
          <a:ext cx="619125" cy="190499"/>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50000" t="50000" r="50000" b="50000"/>
          </a:path>
          <a:tileRect/>
        </a:gradFill>
        <a:ln w="317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rgbClr val="0070C0"/>
              </a:solidFill>
            </a:rPr>
            <a:t>Click me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www.eng-tips.com/faqs.cfm?fid=1153" TargetMode="External"/><Relationship Id="rId3" Type="http://schemas.openxmlformats.org/officeDocument/2006/relationships/hyperlink" Target="http://www.cheresources.com/invision/topic/11856-selecting-vertical-separator-ld-ratio/" TargetMode="External"/><Relationship Id="rId7" Type="http://schemas.openxmlformats.org/officeDocument/2006/relationships/hyperlink" Target="http://www.cheresources.com/invision/topic/41-sizing-a-flash-tank-or-vapor-liquid-separator/" TargetMode="External"/><Relationship Id="rId2" Type="http://schemas.openxmlformats.org/officeDocument/2006/relationships/hyperlink" Target="http://petrowiki.org/Separator_sizing" TargetMode="External"/><Relationship Id="rId1" Type="http://schemas.openxmlformats.org/officeDocument/2006/relationships/hyperlink" Target="http://en.citizendium.org/wiki/Vapor-liquid_separator" TargetMode="External"/><Relationship Id="rId6" Type="http://schemas.openxmlformats.org/officeDocument/2006/relationships/hyperlink" Target="http://www.chemicalforums.com/index.php?topic=9252.0" TargetMode="External"/><Relationship Id="rId5" Type="http://schemas.openxmlformats.org/officeDocument/2006/relationships/hyperlink" Target="http://www.chemicalforums.com/index.php?topic=8913.0" TargetMode="External"/><Relationship Id="rId4" Type="http://schemas.openxmlformats.org/officeDocument/2006/relationships/hyperlink" Target="http://en.citizendium.org/wiki/Vapor-liquid_separator" TargetMode="External"/><Relationship Id="rId9" Type="http://schemas.openxmlformats.org/officeDocument/2006/relationships/hyperlink" Target="http://process-designs.com/"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20"/>
  <sheetViews>
    <sheetView tabSelected="1" workbookViewId="0">
      <selection sqref="A1:C1"/>
    </sheetView>
  </sheetViews>
  <sheetFormatPr defaultRowHeight="15" x14ac:dyDescent="0.25"/>
  <cols>
    <col min="1" max="1" width="7" style="1" customWidth="1"/>
    <col min="2" max="2" width="40.5703125" style="1" customWidth="1"/>
    <col min="3" max="3" width="43.85546875" style="1" customWidth="1"/>
    <col min="4" max="16384" width="9.140625" style="1"/>
  </cols>
  <sheetData>
    <row r="1" spans="1:3" x14ac:dyDescent="0.25">
      <c r="A1" s="185" t="s">
        <v>121</v>
      </c>
      <c r="B1" s="185"/>
      <c r="C1" s="185"/>
    </row>
    <row r="2" spans="1:3" x14ac:dyDescent="0.25">
      <c r="A2" s="158">
        <v>1</v>
      </c>
      <c r="B2" s="184" t="s">
        <v>392</v>
      </c>
      <c r="C2" s="184"/>
    </row>
    <row r="3" spans="1:3" x14ac:dyDescent="0.25">
      <c r="A3" s="158">
        <v>2</v>
      </c>
      <c r="B3" s="184" t="s">
        <v>195</v>
      </c>
      <c r="C3" s="184"/>
    </row>
    <row r="4" spans="1:3" x14ac:dyDescent="0.25">
      <c r="A4" s="158">
        <v>3</v>
      </c>
      <c r="B4" s="184" t="s">
        <v>393</v>
      </c>
      <c r="C4" s="184"/>
    </row>
    <row r="5" spans="1:3" x14ac:dyDescent="0.25">
      <c r="A5" s="158">
        <v>4</v>
      </c>
      <c r="B5" s="184" t="s">
        <v>394</v>
      </c>
      <c r="C5" s="184"/>
    </row>
    <row r="6" spans="1:3" x14ac:dyDescent="0.25">
      <c r="A6" s="158">
        <v>5</v>
      </c>
      <c r="B6" s="183" t="s">
        <v>415</v>
      </c>
      <c r="C6" s="183"/>
    </row>
    <row r="7" spans="1:3" x14ac:dyDescent="0.25">
      <c r="A7" s="159" t="s">
        <v>395</v>
      </c>
      <c r="B7" s="184" t="s">
        <v>416</v>
      </c>
      <c r="C7" s="184"/>
    </row>
    <row r="8" spans="1:3" x14ac:dyDescent="0.25">
      <c r="A8" s="159" t="s">
        <v>396</v>
      </c>
      <c r="B8" s="184" t="s">
        <v>417</v>
      </c>
      <c r="C8" s="184"/>
    </row>
    <row r="9" spans="1:3" x14ac:dyDescent="0.25">
      <c r="A9" s="159" t="s">
        <v>397</v>
      </c>
      <c r="B9" s="184" t="s">
        <v>418</v>
      </c>
      <c r="C9" s="184"/>
    </row>
    <row r="10" spans="1:3" x14ac:dyDescent="0.25">
      <c r="A10" s="159" t="s">
        <v>398</v>
      </c>
      <c r="B10" s="184" t="s">
        <v>419</v>
      </c>
      <c r="C10" s="184"/>
    </row>
    <row r="11" spans="1:3" ht="15" customHeight="1" x14ac:dyDescent="0.25">
      <c r="A11" s="158">
        <v>6</v>
      </c>
      <c r="B11" s="183" t="s">
        <v>420</v>
      </c>
      <c r="C11" s="183"/>
    </row>
    <row r="12" spans="1:3" x14ac:dyDescent="0.25">
      <c r="A12" s="159" t="s">
        <v>399</v>
      </c>
      <c r="B12" s="184" t="s">
        <v>421</v>
      </c>
      <c r="C12" s="184"/>
    </row>
    <row r="13" spans="1:3" x14ac:dyDescent="0.25">
      <c r="A13" s="159" t="s">
        <v>400</v>
      </c>
      <c r="B13" s="184" t="s">
        <v>422</v>
      </c>
      <c r="C13" s="184"/>
    </row>
    <row r="14" spans="1:3" x14ac:dyDescent="0.25">
      <c r="A14" s="159" t="s">
        <v>401</v>
      </c>
      <c r="B14" s="184" t="s">
        <v>423</v>
      </c>
      <c r="C14" s="184"/>
    </row>
    <row r="15" spans="1:3" x14ac:dyDescent="0.25">
      <c r="A15" s="159" t="s">
        <v>402</v>
      </c>
      <c r="B15" s="184" t="s">
        <v>424</v>
      </c>
      <c r="C15" s="184"/>
    </row>
    <row r="17" spans="1:3" x14ac:dyDescent="0.25">
      <c r="A17" s="174" t="s">
        <v>436</v>
      </c>
      <c r="B17" s="121"/>
      <c r="C17" s="122"/>
    </row>
    <row r="18" spans="1:3" x14ac:dyDescent="0.25">
      <c r="A18" s="8" t="s">
        <v>437</v>
      </c>
      <c r="B18" s="12"/>
      <c r="C18" s="9"/>
    </row>
    <row r="19" spans="1:3" x14ac:dyDescent="0.25">
      <c r="A19" s="8" t="s">
        <v>438</v>
      </c>
      <c r="B19" s="12"/>
      <c r="C19" s="9"/>
    </row>
    <row r="20" spans="1:3" x14ac:dyDescent="0.25">
      <c r="A20" s="10" t="s">
        <v>439</v>
      </c>
      <c r="B20" s="13"/>
      <c r="C20" s="11"/>
    </row>
  </sheetData>
  <mergeCells count="15">
    <mergeCell ref="A1:C1"/>
    <mergeCell ref="B2:C2"/>
    <mergeCell ref="B3:C3"/>
    <mergeCell ref="B4:C4"/>
    <mergeCell ref="B5:C5"/>
    <mergeCell ref="B6:C6"/>
    <mergeCell ref="B14:C14"/>
    <mergeCell ref="B15:C15"/>
    <mergeCell ref="B7:C7"/>
    <mergeCell ref="B8:C8"/>
    <mergeCell ref="B9:C9"/>
    <mergeCell ref="B10:C10"/>
    <mergeCell ref="B12:C12"/>
    <mergeCell ref="B13:C13"/>
    <mergeCell ref="B11:C11"/>
  </mergeCells>
  <hyperlinks>
    <hyperlink ref="B2:C2" location="DISCUSSION!A1" display="Discussion"/>
    <hyperlink ref="B3:C3" location="Nomenclature!A1" display="Nomenclature"/>
    <hyperlink ref="B4:C4" location="References!A1" display="References"/>
    <hyperlink ref="B5:C5" location="'Std. Sep. sizes'!A1" display="Standard Separator Sizes as per API"/>
    <hyperlink ref="B7:C7" location="'5A'!A1" display="Two Phase (Gas - Oil) Vertical Separator as per API 12J"/>
    <hyperlink ref="B8:C8" location="'5B'!A1" display="Two Phase (Gas - Oil) Horizontal Separator as per API 12J"/>
    <hyperlink ref="B9:C9" location="'5C'!A1" display="Three Phase (Gas - Oil - Water) Vertical Separator as per API 12J"/>
    <hyperlink ref="B10:C10" location="'5D'!A1" display="Three Phase (Gas - Oil - Water) Horizontal Separator as per API 12J"/>
    <hyperlink ref="B12:C12" location="'6A'!A1" display="Two Phase (Gas - Oil) Vertical Separator As per Petroleum and Gas Field Processing"/>
    <hyperlink ref="B13:C13" location="'6B'!A1" display="Two Phase (Gas - Oil) Horizontal Separator as per Petroleum and Gas Field Processing"/>
    <hyperlink ref="B14:C14" location="'6C'!A1" display="Three Phase (Gas - Oil - Water) Vertical Separator as per Petroleum and Gas Field Processing"/>
    <hyperlink ref="B15:C15" location="'6D'!A1" display="Three Phase (Gas - Oil - Water) Horizontal Separator as per Petroleum and Gas Field Processing"/>
    <hyperlink ref="A1:C1" location="Index!A1" display="INDEX:"/>
  </hyperlinks>
  <pageMargins left="0.7" right="0.7" top="0.75" bottom="0.75" header="0.3" footer="0.3"/>
  <pageSetup paperSize="8"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47"/>
  <sheetViews>
    <sheetView workbookViewId="0">
      <selection sqref="A1:B1"/>
    </sheetView>
  </sheetViews>
  <sheetFormatPr defaultRowHeight="15" x14ac:dyDescent="0.25"/>
  <cols>
    <col min="1" max="1" width="40.5703125" style="1" customWidth="1"/>
    <col min="2" max="2" width="48.140625" style="1" customWidth="1"/>
    <col min="3" max="16384" width="9.140625" style="1"/>
  </cols>
  <sheetData>
    <row r="1" spans="1:3" x14ac:dyDescent="0.25">
      <c r="A1" s="187" t="s">
        <v>379</v>
      </c>
      <c r="B1" s="188"/>
      <c r="C1" s="167" t="s">
        <v>426</v>
      </c>
    </row>
    <row r="2" spans="1:3" x14ac:dyDescent="0.25">
      <c r="A2" s="8"/>
      <c r="B2" s="9"/>
    </row>
    <row r="3" spans="1:3" ht="52.5" customHeight="1" x14ac:dyDescent="0.25">
      <c r="A3" s="183" t="s">
        <v>403</v>
      </c>
      <c r="B3" s="183"/>
    </row>
    <row r="4" spans="1:3" x14ac:dyDescent="0.25">
      <c r="A4" s="193"/>
      <c r="B4" s="194"/>
    </row>
    <row r="5" spans="1:3" ht="170.25" customHeight="1" x14ac:dyDescent="0.25">
      <c r="A5" s="191" t="s">
        <v>408</v>
      </c>
      <c r="B5" s="191"/>
    </row>
    <row r="6" spans="1:3" x14ac:dyDescent="0.25">
      <c r="A6" s="189"/>
      <c r="B6" s="189"/>
    </row>
    <row r="7" spans="1:3" ht="48.75" customHeight="1" x14ac:dyDescent="0.25">
      <c r="A7" s="190" t="s">
        <v>409</v>
      </c>
      <c r="B7" s="190"/>
    </row>
    <row r="8" spans="1:3" x14ac:dyDescent="0.25">
      <c r="A8" s="191" t="s">
        <v>427</v>
      </c>
      <c r="B8" s="191"/>
    </row>
    <row r="9" spans="1:3" x14ac:dyDescent="0.25">
      <c r="A9" s="192" t="s">
        <v>425</v>
      </c>
      <c r="B9" s="192"/>
    </row>
    <row r="10" spans="1:3" x14ac:dyDescent="0.25">
      <c r="A10" s="153" t="s">
        <v>324</v>
      </c>
      <c r="B10" s="153" t="s">
        <v>329</v>
      </c>
    </row>
    <row r="11" spans="1:3" ht="18.75" x14ac:dyDescent="0.35">
      <c r="A11" s="154" t="s">
        <v>325</v>
      </c>
      <c r="B11" s="154" t="s">
        <v>336</v>
      </c>
    </row>
    <row r="12" spans="1:3" ht="18.75" x14ac:dyDescent="0.35">
      <c r="A12" s="154" t="s">
        <v>326</v>
      </c>
      <c r="B12" s="154" t="s">
        <v>337</v>
      </c>
    </row>
    <row r="13" spans="1:3" ht="18.75" x14ac:dyDescent="0.35">
      <c r="A13" s="154" t="s">
        <v>334</v>
      </c>
      <c r="B13" s="154" t="s">
        <v>338</v>
      </c>
    </row>
    <row r="14" spans="1:3" x14ac:dyDescent="0.25">
      <c r="A14" s="154"/>
      <c r="B14" s="154"/>
    </row>
    <row r="15" spans="1:3" ht="18.75" x14ac:dyDescent="0.35">
      <c r="A15" s="153" t="s">
        <v>335</v>
      </c>
      <c r="B15" s="154" t="s">
        <v>339</v>
      </c>
    </row>
    <row r="16" spans="1:3" x14ac:dyDescent="0.25">
      <c r="A16" s="154"/>
      <c r="B16" s="154"/>
    </row>
    <row r="17" spans="1:2" x14ac:dyDescent="0.25">
      <c r="A17" s="153" t="s">
        <v>327</v>
      </c>
      <c r="B17" s="154" t="s">
        <v>328</v>
      </c>
    </row>
    <row r="18" spans="1:2" x14ac:dyDescent="0.25">
      <c r="A18" s="2"/>
      <c r="B18" s="2"/>
    </row>
    <row r="19" spans="1:2" x14ac:dyDescent="0.25">
      <c r="A19" s="186" t="s">
        <v>340</v>
      </c>
      <c r="B19" s="186"/>
    </row>
    <row r="20" spans="1:2" x14ac:dyDescent="0.25">
      <c r="A20" s="153" t="s">
        <v>341</v>
      </c>
      <c r="B20" s="153" t="s">
        <v>342</v>
      </c>
    </row>
    <row r="21" spans="1:2" x14ac:dyDescent="0.25">
      <c r="A21" s="154" t="s">
        <v>343</v>
      </c>
      <c r="B21" s="154" t="s">
        <v>344</v>
      </c>
    </row>
    <row r="22" spans="1:2" x14ac:dyDescent="0.25">
      <c r="A22" s="154" t="s">
        <v>345</v>
      </c>
      <c r="B22" s="154" t="s">
        <v>346</v>
      </c>
    </row>
    <row r="23" spans="1:2" x14ac:dyDescent="0.25">
      <c r="A23" s="154" t="s">
        <v>347</v>
      </c>
      <c r="B23" s="154" t="s">
        <v>346</v>
      </c>
    </row>
    <row r="24" spans="1:2" x14ac:dyDescent="0.25">
      <c r="A24" s="154" t="s">
        <v>348</v>
      </c>
      <c r="B24" s="154" t="s">
        <v>346</v>
      </c>
    </row>
    <row r="25" spans="1:2" x14ac:dyDescent="0.25">
      <c r="A25" s="154" t="s">
        <v>349</v>
      </c>
      <c r="B25" s="154" t="s">
        <v>344</v>
      </c>
    </row>
    <row r="26" spans="1:2" x14ac:dyDescent="0.25">
      <c r="A26" s="193"/>
      <c r="B26" s="194"/>
    </row>
    <row r="27" spans="1:2" x14ac:dyDescent="0.25">
      <c r="A27" s="186" t="s">
        <v>350</v>
      </c>
      <c r="B27" s="186"/>
    </row>
    <row r="28" spans="1:2" x14ac:dyDescent="0.25">
      <c r="A28" s="153" t="s">
        <v>351</v>
      </c>
      <c r="B28" s="153" t="s">
        <v>352</v>
      </c>
    </row>
    <row r="29" spans="1:2" x14ac:dyDescent="0.25">
      <c r="A29" s="154" t="s">
        <v>353</v>
      </c>
      <c r="B29" s="154" t="s">
        <v>354</v>
      </c>
    </row>
    <row r="30" spans="1:2" x14ac:dyDescent="0.25">
      <c r="A30" s="154" t="s">
        <v>355</v>
      </c>
      <c r="B30" s="154" t="s">
        <v>354</v>
      </c>
    </row>
    <row r="31" spans="1:2" x14ac:dyDescent="0.25">
      <c r="A31" s="154" t="s">
        <v>356</v>
      </c>
      <c r="B31" s="154" t="s">
        <v>357</v>
      </c>
    </row>
    <row r="32" spans="1:2" x14ac:dyDescent="0.25">
      <c r="A32" s="154" t="s">
        <v>358</v>
      </c>
      <c r="B32" s="154" t="s">
        <v>354</v>
      </c>
    </row>
    <row r="33" spans="1:2" ht="49.5" customHeight="1" x14ac:dyDescent="0.25">
      <c r="A33" s="154" t="s">
        <v>359</v>
      </c>
      <c r="B33" s="155" t="s">
        <v>360</v>
      </c>
    </row>
    <row r="34" spans="1:2" x14ac:dyDescent="0.25">
      <c r="A34" s="193"/>
      <c r="B34" s="194"/>
    </row>
    <row r="35" spans="1:2" x14ac:dyDescent="0.25">
      <c r="A35" s="186" t="s">
        <v>377</v>
      </c>
      <c r="B35" s="186"/>
    </row>
    <row r="36" spans="1:2" x14ac:dyDescent="0.25">
      <c r="A36" s="156" t="s">
        <v>361</v>
      </c>
      <c r="B36" s="156" t="s">
        <v>362</v>
      </c>
    </row>
    <row r="37" spans="1:2" x14ac:dyDescent="0.25">
      <c r="A37" s="157" t="s">
        <v>363</v>
      </c>
      <c r="B37" s="157" t="s">
        <v>364</v>
      </c>
    </row>
    <row r="38" spans="1:2" x14ac:dyDescent="0.25">
      <c r="A38" s="157" t="s">
        <v>365</v>
      </c>
      <c r="B38" s="157" t="s">
        <v>366</v>
      </c>
    </row>
    <row r="39" spans="1:2" x14ac:dyDescent="0.25">
      <c r="A39" s="157" t="s">
        <v>367</v>
      </c>
      <c r="B39" s="157" t="s">
        <v>373</v>
      </c>
    </row>
    <row r="40" spans="1:2" x14ac:dyDescent="0.25">
      <c r="A40" s="157" t="s">
        <v>368</v>
      </c>
      <c r="B40" s="157">
        <v>0.107</v>
      </c>
    </row>
    <row r="41" spans="1:2" x14ac:dyDescent="0.25">
      <c r="A41" s="157" t="s">
        <v>369</v>
      </c>
      <c r="B41" s="157">
        <v>0.10100000000000001</v>
      </c>
    </row>
    <row r="42" spans="1:2" x14ac:dyDescent="0.25">
      <c r="A42" s="157" t="s">
        <v>370</v>
      </c>
      <c r="B42" s="157">
        <v>9.0999999999999998E-2</v>
      </c>
    </row>
    <row r="43" spans="1:2" x14ac:dyDescent="0.25">
      <c r="A43" s="157" t="s">
        <v>371</v>
      </c>
      <c r="B43" s="157">
        <v>8.2000000000000003E-2</v>
      </c>
    </row>
    <row r="44" spans="1:2" x14ac:dyDescent="0.25">
      <c r="A44" s="157" t="s">
        <v>372</v>
      </c>
      <c r="B44" s="157">
        <v>6.4000000000000001E-2</v>
      </c>
    </row>
    <row r="45" spans="1:2" x14ac:dyDescent="0.25">
      <c r="A45" s="157" t="s">
        <v>374</v>
      </c>
      <c r="B45" s="157">
        <v>7.5999999999999998E-2</v>
      </c>
    </row>
    <row r="46" spans="1:2" x14ac:dyDescent="0.25">
      <c r="A46" s="157" t="s">
        <v>375</v>
      </c>
      <c r="B46" s="157">
        <v>6.0999999999999999E-2</v>
      </c>
    </row>
    <row r="47" spans="1:2" x14ac:dyDescent="0.25">
      <c r="A47" s="157" t="s">
        <v>376</v>
      </c>
      <c r="B47" s="157">
        <v>4.5999999999999999E-2</v>
      </c>
    </row>
  </sheetData>
  <mergeCells count="13">
    <mergeCell ref="A35:B35"/>
    <mergeCell ref="A1:B1"/>
    <mergeCell ref="A3:B3"/>
    <mergeCell ref="A6:B6"/>
    <mergeCell ref="A7:B7"/>
    <mergeCell ref="A19:B19"/>
    <mergeCell ref="A27:B27"/>
    <mergeCell ref="A5:B5"/>
    <mergeCell ref="A9:B9"/>
    <mergeCell ref="A8:B8"/>
    <mergeCell ref="A4:B4"/>
    <mergeCell ref="A26:B26"/>
    <mergeCell ref="A34:B34"/>
  </mergeCells>
  <hyperlinks>
    <hyperlink ref="C1" location="Index!A1" display="INDEX"/>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7"/>
  <sheetViews>
    <sheetView workbookViewId="0">
      <selection sqref="A1:B1"/>
    </sheetView>
  </sheetViews>
  <sheetFormatPr defaultRowHeight="15" x14ac:dyDescent="0.25"/>
  <cols>
    <col min="1" max="1" width="8.140625" style="1" bestFit="1" customWidth="1"/>
    <col min="2" max="2" width="57" style="182" bestFit="1" customWidth="1"/>
    <col min="3" max="16384" width="9.140625" style="1"/>
  </cols>
  <sheetData>
    <row r="1" spans="1:3" x14ac:dyDescent="0.25">
      <c r="A1" s="195" t="s">
        <v>382</v>
      </c>
      <c r="B1" s="195"/>
      <c r="C1" s="167" t="s">
        <v>426</v>
      </c>
    </row>
    <row r="2" spans="1:3" x14ac:dyDescent="0.25">
      <c r="A2" s="8"/>
      <c r="B2" s="176"/>
    </row>
    <row r="3" spans="1:3" x14ac:dyDescent="0.25">
      <c r="A3" s="177" t="s">
        <v>196</v>
      </c>
      <c r="B3" s="176" t="s">
        <v>199</v>
      </c>
    </row>
    <row r="4" spans="1:3" ht="18.75" x14ac:dyDescent="0.35">
      <c r="A4" s="177" t="s">
        <v>197</v>
      </c>
      <c r="B4" s="176" t="s">
        <v>200</v>
      </c>
    </row>
    <row r="5" spans="1:3" ht="18.75" x14ac:dyDescent="0.35">
      <c r="A5" s="177" t="s">
        <v>198</v>
      </c>
      <c r="B5" s="176" t="s">
        <v>201</v>
      </c>
    </row>
    <row r="6" spans="1:3" ht="18.75" x14ac:dyDescent="0.35">
      <c r="A6" s="177" t="s">
        <v>269</v>
      </c>
      <c r="B6" s="176" t="s">
        <v>270</v>
      </c>
    </row>
    <row r="7" spans="1:3" ht="18" x14ac:dyDescent="0.25">
      <c r="A7" s="178" t="s">
        <v>248</v>
      </c>
      <c r="B7" s="23" t="s">
        <v>188</v>
      </c>
    </row>
    <row r="8" spans="1:3" x14ac:dyDescent="0.25">
      <c r="A8" s="178" t="s">
        <v>171</v>
      </c>
      <c r="B8" s="23" t="s">
        <v>172</v>
      </c>
    </row>
    <row r="9" spans="1:3" ht="18" x14ac:dyDescent="0.25">
      <c r="A9" s="178" t="s">
        <v>249</v>
      </c>
      <c r="B9" s="23" t="s">
        <v>173</v>
      </c>
    </row>
    <row r="10" spans="1:3" x14ac:dyDescent="0.25">
      <c r="A10" s="178" t="s">
        <v>6</v>
      </c>
      <c r="B10" s="23" t="s">
        <v>174</v>
      </c>
    </row>
    <row r="11" spans="1:3" x14ac:dyDescent="0.25">
      <c r="A11" s="178" t="s">
        <v>175</v>
      </c>
      <c r="B11" s="23" t="s">
        <v>176</v>
      </c>
    </row>
    <row r="12" spans="1:3" ht="18" x14ac:dyDescent="0.25">
      <c r="A12" s="178" t="s">
        <v>250</v>
      </c>
      <c r="B12" s="23" t="s">
        <v>177</v>
      </c>
    </row>
    <row r="13" spans="1:3" ht="18" x14ac:dyDescent="0.25">
      <c r="A13" s="178" t="s">
        <v>251</v>
      </c>
      <c r="B13" s="23" t="s">
        <v>178</v>
      </c>
    </row>
    <row r="14" spans="1:3" ht="18" x14ac:dyDescent="0.25">
      <c r="A14" s="178" t="s">
        <v>252</v>
      </c>
      <c r="B14" s="23" t="s">
        <v>179</v>
      </c>
    </row>
    <row r="15" spans="1:3" x14ac:dyDescent="0.25">
      <c r="A15" s="178" t="s">
        <v>72</v>
      </c>
      <c r="B15" s="23" t="s">
        <v>246</v>
      </c>
    </row>
    <row r="16" spans="1:3" ht="18" x14ac:dyDescent="0.25">
      <c r="A16" s="178" t="s">
        <v>253</v>
      </c>
      <c r="B16" s="23" t="s">
        <v>180</v>
      </c>
    </row>
    <row r="17" spans="1:8" ht="18" x14ac:dyDescent="0.25">
      <c r="A17" s="178" t="s">
        <v>254</v>
      </c>
      <c r="B17" s="23" t="s">
        <v>181</v>
      </c>
    </row>
    <row r="18" spans="1:8" ht="18" x14ac:dyDescent="0.25">
      <c r="A18" s="178" t="s">
        <v>272</v>
      </c>
      <c r="B18" s="23" t="s">
        <v>273</v>
      </c>
    </row>
    <row r="19" spans="1:8" x14ac:dyDescent="0.25">
      <c r="A19" s="178" t="s">
        <v>3</v>
      </c>
      <c r="B19" s="23" t="s">
        <v>182</v>
      </c>
      <c r="F19" s="179"/>
      <c r="G19" s="5"/>
      <c r="H19" s="5"/>
    </row>
    <row r="20" spans="1:8" ht="18" x14ac:dyDescent="0.25">
      <c r="A20" s="178" t="s">
        <v>255</v>
      </c>
      <c r="B20" s="23" t="s">
        <v>266</v>
      </c>
      <c r="F20" s="179"/>
      <c r="G20" s="5"/>
      <c r="H20" s="5"/>
    </row>
    <row r="21" spans="1:8" ht="18" x14ac:dyDescent="0.25">
      <c r="A21" s="178" t="s">
        <v>170</v>
      </c>
      <c r="B21" s="23" t="s">
        <v>271</v>
      </c>
    </row>
    <row r="22" spans="1:8" ht="18" x14ac:dyDescent="0.25">
      <c r="A22" s="178" t="s">
        <v>256</v>
      </c>
      <c r="B22" s="23" t="s">
        <v>267</v>
      </c>
    </row>
    <row r="23" spans="1:8" ht="18" x14ac:dyDescent="0.25">
      <c r="A23" s="180" t="s">
        <v>257</v>
      </c>
      <c r="B23" s="23" t="s">
        <v>268</v>
      </c>
    </row>
    <row r="24" spans="1:8" x14ac:dyDescent="0.25">
      <c r="A24" s="178" t="s">
        <v>7</v>
      </c>
      <c r="B24" s="23" t="s">
        <v>183</v>
      </c>
    </row>
    <row r="25" spans="1:8" x14ac:dyDescent="0.25">
      <c r="A25" s="178" t="s">
        <v>4</v>
      </c>
      <c r="B25" s="23" t="s">
        <v>184</v>
      </c>
    </row>
    <row r="26" spans="1:8" x14ac:dyDescent="0.25">
      <c r="A26" s="178" t="s">
        <v>81</v>
      </c>
      <c r="B26" s="23" t="s">
        <v>264</v>
      </c>
    </row>
    <row r="27" spans="1:8" ht="18" x14ac:dyDescent="0.25">
      <c r="A27" s="178" t="s">
        <v>71</v>
      </c>
      <c r="B27" s="23" t="s">
        <v>265</v>
      </c>
    </row>
    <row r="28" spans="1:8" ht="18" x14ac:dyDescent="0.25">
      <c r="A28" s="178" t="s">
        <v>332</v>
      </c>
      <c r="B28" s="23" t="s">
        <v>333</v>
      </c>
    </row>
    <row r="29" spans="1:8" x14ac:dyDescent="0.25">
      <c r="A29" s="178" t="s">
        <v>5</v>
      </c>
      <c r="B29" s="23" t="s">
        <v>185</v>
      </c>
    </row>
    <row r="30" spans="1:8" ht="18" x14ac:dyDescent="0.25">
      <c r="A30" s="178" t="s">
        <v>258</v>
      </c>
      <c r="B30" s="23" t="s">
        <v>186</v>
      </c>
    </row>
    <row r="31" spans="1:8" ht="18" x14ac:dyDescent="0.25">
      <c r="A31" s="178" t="s">
        <v>259</v>
      </c>
      <c r="B31" s="23" t="s">
        <v>189</v>
      </c>
    </row>
    <row r="32" spans="1:8" ht="17.25" x14ac:dyDescent="0.25">
      <c r="A32" s="178" t="s">
        <v>187</v>
      </c>
      <c r="B32" s="23" t="s">
        <v>190</v>
      </c>
    </row>
    <row r="33" spans="1:2" ht="18" x14ac:dyDescent="0.25">
      <c r="A33" s="178" t="s">
        <v>260</v>
      </c>
      <c r="B33" s="23" t="s">
        <v>191</v>
      </c>
    </row>
    <row r="34" spans="1:2" ht="18" x14ac:dyDescent="0.25">
      <c r="A34" s="178" t="s">
        <v>261</v>
      </c>
      <c r="B34" s="23" t="s">
        <v>192</v>
      </c>
    </row>
    <row r="35" spans="1:2" ht="18" x14ac:dyDescent="0.25">
      <c r="A35" s="178" t="s">
        <v>262</v>
      </c>
      <c r="B35" s="23" t="s">
        <v>193</v>
      </c>
    </row>
    <row r="36" spans="1:2" ht="18" x14ac:dyDescent="0.25">
      <c r="A36" s="178" t="s">
        <v>330</v>
      </c>
      <c r="B36" s="23" t="s">
        <v>331</v>
      </c>
    </row>
    <row r="37" spans="1:2" ht="18" x14ac:dyDescent="0.25">
      <c r="A37" s="181" t="s">
        <v>263</v>
      </c>
      <c r="B37" s="28" t="s">
        <v>194</v>
      </c>
    </row>
  </sheetData>
  <mergeCells count="1">
    <mergeCell ref="A1:B1"/>
  </mergeCells>
  <hyperlinks>
    <hyperlink ref="C1" location="Index!A1" display="INDEX"/>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6"/>
  <sheetViews>
    <sheetView workbookViewId="0">
      <selection sqref="A1:H1"/>
    </sheetView>
  </sheetViews>
  <sheetFormatPr defaultRowHeight="15" x14ac:dyDescent="0.25"/>
  <cols>
    <col min="1" max="6" width="9.140625" style="160"/>
    <col min="7" max="7" width="12.7109375" style="160" customWidth="1"/>
    <col min="8" max="8" width="20.140625" style="160" customWidth="1"/>
    <col min="9" max="16384" width="9.140625" style="160"/>
  </cols>
  <sheetData>
    <row r="1" spans="1:9" x14ac:dyDescent="0.25">
      <c r="A1" s="199" t="s">
        <v>131</v>
      </c>
      <c r="B1" s="199"/>
      <c r="C1" s="199"/>
      <c r="D1" s="199"/>
      <c r="E1" s="199"/>
      <c r="F1" s="199"/>
      <c r="G1" s="199"/>
      <c r="H1" s="199"/>
      <c r="I1" s="167" t="s">
        <v>426</v>
      </c>
    </row>
    <row r="2" spans="1:9" x14ac:dyDescent="0.25">
      <c r="A2" s="161"/>
      <c r="H2" s="162"/>
    </row>
    <row r="3" spans="1:9" ht="28.5" customHeight="1" x14ac:dyDescent="0.25">
      <c r="A3" s="196" t="s">
        <v>108</v>
      </c>
      <c r="B3" s="197"/>
      <c r="C3" s="197"/>
      <c r="D3" s="197"/>
      <c r="E3" s="197"/>
      <c r="F3" s="197"/>
      <c r="G3" s="197"/>
      <c r="H3" s="198"/>
    </row>
    <row r="4" spans="1:9" ht="28.5" customHeight="1" x14ac:dyDescent="0.25">
      <c r="A4" s="161" t="s">
        <v>138</v>
      </c>
      <c r="H4" s="162"/>
    </row>
    <row r="5" spans="1:9" ht="28.5" customHeight="1" x14ac:dyDescent="0.25">
      <c r="A5" s="196" t="s">
        <v>67</v>
      </c>
      <c r="B5" s="197"/>
      <c r="C5" s="197"/>
      <c r="D5" s="197"/>
      <c r="E5" s="197"/>
      <c r="F5" s="197"/>
      <c r="G5" s="197"/>
      <c r="H5" s="198"/>
    </row>
    <row r="6" spans="1:9" ht="28.5" customHeight="1" x14ac:dyDescent="0.25">
      <c r="A6" s="196" t="s">
        <v>68</v>
      </c>
      <c r="B6" s="197"/>
      <c r="C6" s="197"/>
      <c r="D6" s="197"/>
      <c r="E6" s="197"/>
      <c r="F6" s="197"/>
      <c r="G6" s="197"/>
      <c r="H6" s="198"/>
      <c r="I6" s="160" t="s">
        <v>127</v>
      </c>
    </row>
    <row r="7" spans="1:9" ht="28.5" customHeight="1" x14ac:dyDescent="0.25">
      <c r="A7" s="163" t="s">
        <v>240</v>
      </c>
      <c r="H7" s="162"/>
    </row>
    <row r="8" spans="1:9" ht="28.5" customHeight="1" x14ac:dyDescent="0.25">
      <c r="A8" s="196" t="s">
        <v>206</v>
      </c>
      <c r="B8" s="197"/>
      <c r="C8" s="197"/>
      <c r="D8" s="197"/>
      <c r="E8" s="197"/>
      <c r="F8" s="197"/>
      <c r="G8" s="197"/>
      <c r="H8" s="198"/>
      <c r="I8" s="160" t="s">
        <v>127</v>
      </c>
    </row>
    <row r="9" spans="1:9" ht="28.5" customHeight="1" x14ac:dyDescent="0.25">
      <c r="A9" s="196" t="s">
        <v>205</v>
      </c>
      <c r="B9" s="197"/>
      <c r="C9" s="197"/>
      <c r="D9" s="197"/>
      <c r="E9" s="197"/>
      <c r="F9" s="197"/>
      <c r="G9" s="197"/>
      <c r="H9" s="198"/>
      <c r="I9" s="160" t="s">
        <v>127</v>
      </c>
    </row>
    <row r="10" spans="1:9" ht="28.5" customHeight="1" x14ac:dyDescent="0.25">
      <c r="A10" s="196" t="s">
        <v>108</v>
      </c>
      <c r="B10" s="197"/>
      <c r="C10" s="197"/>
      <c r="D10" s="197"/>
      <c r="E10" s="197"/>
      <c r="F10" s="197"/>
      <c r="G10" s="197"/>
      <c r="H10" s="198"/>
      <c r="I10" s="160" t="s">
        <v>127</v>
      </c>
    </row>
    <row r="11" spans="1:9" ht="28.5" customHeight="1" x14ac:dyDescent="0.25">
      <c r="A11" s="196" t="s">
        <v>210</v>
      </c>
      <c r="B11" s="197"/>
      <c r="C11" s="197"/>
      <c r="D11" s="197"/>
      <c r="E11" s="197"/>
      <c r="F11" s="197"/>
      <c r="G11" s="197"/>
      <c r="H11" s="198"/>
    </row>
    <row r="12" spans="1:9" ht="28.5" customHeight="1" x14ac:dyDescent="0.25">
      <c r="A12" s="196" t="s">
        <v>211</v>
      </c>
      <c r="B12" s="197"/>
      <c r="C12" s="197"/>
      <c r="D12" s="197"/>
      <c r="E12" s="197"/>
      <c r="F12" s="197"/>
      <c r="G12" s="197"/>
      <c r="H12" s="198"/>
    </row>
    <row r="13" spans="1:9" ht="28.5" customHeight="1" x14ac:dyDescent="0.25">
      <c r="A13" s="196" t="s">
        <v>212</v>
      </c>
      <c r="B13" s="197"/>
      <c r="C13" s="197"/>
      <c r="D13" s="197"/>
      <c r="E13" s="197"/>
      <c r="F13" s="197"/>
      <c r="G13" s="197"/>
      <c r="H13" s="198"/>
      <c r="I13" s="160" t="s">
        <v>127</v>
      </c>
    </row>
    <row r="14" spans="1:9" ht="28.5" customHeight="1" x14ac:dyDescent="0.25">
      <c r="A14" s="196" t="s">
        <v>209</v>
      </c>
      <c r="B14" s="197"/>
      <c r="C14" s="197"/>
      <c r="D14" s="197"/>
      <c r="E14" s="197"/>
      <c r="F14" s="197"/>
      <c r="G14" s="197"/>
      <c r="H14" s="198"/>
    </row>
    <row r="15" spans="1:9" ht="28.5" customHeight="1" x14ac:dyDescent="0.25">
      <c r="A15" s="196" t="s">
        <v>242</v>
      </c>
      <c r="B15" s="197"/>
      <c r="C15" s="197"/>
      <c r="D15" s="197"/>
      <c r="E15" s="197"/>
      <c r="F15" s="197"/>
      <c r="G15" s="197"/>
      <c r="H15" s="198"/>
    </row>
    <row r="16" spans="1:9" ht="28.5" customHeight="1" x14ac:dyDescent="0.25">
      <c r="A16" s="196" t="s">
        <v>380</v>
      </c>
      <c r="B16" s="197"/>
      <c r="C16" s="197"/>
      <c r="D16" s="197"/>
      <c r="E16" s="197"/>
      <c r="F16" s="197"/>
      <c r="G16" s="197"/>
      <c r="H16" s="198"/>
      <c r="I16" s="160" t="s">
        <v>127</v>
      </c>
    </row>
    <row r="17" spans="1:8" ht="28.5" customHeight="1" x14ac:dyDescent="0.25">
      <c r="A17" s="196" t="s">
        <v>381</v>
      </c>
      <c r="B17" s="197"/>
      <c r="C17" s="197"/>
      <c r="D17" s="197"/>
      <c r="E17" s="197"/>
      <c r="F17" s="197"/>
      <c r="G17" s="197"/>
      <c r="H17" s="198"/>
    </row>
    <row r="18" spans="1:8" ht="28.5" customHeight="1" x14ac:dyDescent="0.25">
      <c r="A18" s="196" t="s">
        <v>406</v>
      </c>
      <c r="B18" s="197"/>
      <c r="C18" s="197"/>
      <c r="D18" s="197"/>
      <c r="E18" s="197"/>
      <c r="F18" s="197"/>
      <c r="G18" s="197"/>
      <c r="H18" s="198"/>
    </row>
    <row r="19" spans="1:8" ht="28.5" customHeight="1" x14ac:dyDescent="0.25">
      <c r="A19" s="164" t="s">
        <v>410</v>
      </c>
      <c r="B19" s="165"/>
      <c r="C19" s="165"/>
      <c r="D19" s="165"/>
      <c r="E19" s="165"/>
      <c r="F19" s="165"/>
      <c r="G19" s="165"/>
      <c r="H19" s="166"/>
    </row>
    <row r="20" spans="1:8" ht="28.5" customHeight="1" x14ac:dyDescent="0.25">
      <c r="A20" s="164" t="s">
        <v>440</v>
      </c>
      <c r="B20" s="165"/>
      <c r="C20" s="165"/>
      <c r="D20" s="165"/>
      <c r="E20" s="165"/>
      <c r="F20" s="165"/>
      <c r="G20" s="165"/>
      <c r="H20" s="166"/>
    </row>
    <row r="26" spans="1:8" ht="15" customHeight="1" x14ac:dyDescent="0.25"/>
  </sheetData>
  <mergeCells count="15">
    <mergeCell ref="A18:H18"/>
    <mergeCell ref="A1:H1"/>
    <mergeCell ref="A3:H3"/>
    <mergeCell ref="A5:H5"/>
    <mergeCell ref="A8:H8"/>
    <mergeCell ref="A17:H17"/>
    <mergeCell ref="A6:H6"/>
    <mergeCell ref="A9:H9"/>
    <mergeCell ref="A10:H10"/>
    <mergeCell ref="A11:H11"/>
    <mergeCell ref="A12:H12"/>
    <mergeCell ref="A13:H13"/>
    <mergeCell ref="A14:H14"/>
    <mergeCell ref="A15:H15"/>
    <mergeCell ref="A16:H16"/>
  </mergeCells>
  <hyperlinks>
    <hyperlink ref="A3" r:id="rId1"/>
    <hyperlink ref="A5" r:id="rId2"/>
    <hyperlink ref="A6" r:id="rId3"/>
    <hyperlink ref="A10" r:id="rId4"/>
    <hyperlink ref="A11" r:id="rId5"/>
    <hyperlink ref="A12" r:id="rId6"/>
    <hyperlink ref="A13" r:id="rId7"/>
    <hyperlink ref="A14" r:id="rId8"/>
    <hyperlink ref="A8" display="http://books.google.com.qa/books?id=BZOPlA-SmMUC&amp;pg=PA97&amp;lpg=PA97&amp;dq=%22three+phase%22+separator+L/D+ratio+%22GPSA%22&amp;source=bl&amp;ots=u979BoWCxd&amp;sig=p13fCbqS52y7bE3eGRDtfj7nGq0&amp;hl=en&amp;sa=X&amp;ei=s9dMVJHiHKvcywO4tIK4BQ&amp;redir_esc=y#v=onepage&amp;q=%22three%20phase%22"/>
    <hyperlink ref="A15" r:id="rId9"/>
    <hyperlink ref="I1" location="Index!A1" display="INDEX"/>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42"/>
  <sheetViews>
    <sheetView workbookViewId="0"/>
  </sheetViews>
  <sheetFormatPr defaultRowHeight="15" x14ac:dyDescent="0.25"/>
  <cols>
    <col min="1" max="1" width="37.28515625" style="175" bestFit="1" customWidth="1"/>
    <col min="2" max="16384" width="9.140625" style="1"/>
  </cols>
  <sheetData>
    <row r="1" spans="1:2" x14ac:dyDescent="0.25">
      <c r="A1" s="129" t="s">
        <v>313</v>
      </c>
      <c r="B1" s="167" t="s">
        <v>426</v>
      </c>
    </row>
    <row r="2" spans="1:2" x14ac:dyDescent="0.25">
      <c r="A2" s="172" t="s">
        <v>317</v>
      </c>
    </row>
    <row r="3" spans="1:2" x14ac:dyDescent="0.25">
      <c r="A3" s="173" t="s">
        <v>314</v>
      </c>
    </row>
    <row r="4" spans="1:2" x14ac:dyDescent="0.25">
      <c r="A4" s="173" t="s">
        <v>315</v>
      </c>
    </row>
    <row r="5" spans="1:2" x14ac:dyDescent="0.25">
      <c r="A5" s="173" t="s">
        <v>316</v>
      </c>
    </row>
    <row r="6" spans="1:2" x14ac:dyDescent="0.25">
      <c r="A6" s="173"/>
    </row>
    <row r="7" spans="1:2" x14ac:dyDescent="0.25">
      <c r="A7" s="173" t="s">
        <v>285</v>
      </c>
    </row>
    <row r="8" spans="1:2" x14ac:dyDescent="0.25">
      <c r="A8" s="173" t="s">
        <v>286</v>
      </c>
    </row>
    <row r="9" spans="1:2" x14ac:dyDescent="0.25">
      <c r="A9" s="173" t="s">
        <v>287</v>
      </c>
    </row>
    <row r="10" spans="1:2" x14ac:dyDescent="0.25">
      <c r="A10" s="173"/>
    </row>
    <row r="11" spans="1:2" x14ac:dyDescent="0.25">
      <c r="A11" s="173" t="s">
        <v>288</v>
      </c>
    </row>
    <row r="12" spans="1:2" x14ac:dyDescent="0.25">
      <c r="A12" s="173" t="s">
        <v>289</v>
      </c>
    </row>
    <row r="13" spans="1:2" x14ac:dyDescent="0.25">
      <c r="A13" s="173" t="s">
        <v>290</v>
      </c>
    </row>
    <row r="14" spans="1:2" x14ac:dyDescent="0.25">
      <c r="A14" s="173"/>
    </row>
    <row r="15" spans="1:2" x14ac:dyDescent="0.25">
      <c r="A15" s="173" t="s">
        <v>291</v>
      </c>
    </row>
    <row r="16" spans="1:2" x14ac:dyDescent="0.25">
      <c r="A16" s="173" t="s">
        <v>292</v>
      </c>
    </row>
    <row r="17" spans="1:1" x14ac:dyDescent="0.25">
      <c r="A17" s="173" t="s">
        <v>293</v>
      </c>
    </row>
    <row r="18" spans="1:1" x14ac:dyDescent="0.25">
      <c r="A18" s="173"/>
    </row>
    <row r="19" spans="1:1" x14ac:dyDescent="0.25">
      <c r="A19" s="173" t="s">
        <v>294</v>
      </c>
    </row>
    <row r="20" spans="1:1" x14ac:dyDescent="0.25">
      <c r="A20" s="173" t="s">
        <v>295</v>
      </c>
    </row>
    <row r="21" spans="1:1" x14ac:dyDescent="0.25">
      <c r="A21" s="173" t="s">
        <v>296</v>
      </c>
    </row>
    <row r="22" spans="1:1" x14ac:dyDescent="0.25">
      <c r="A22" s="173"/>
    </row>
    <row r="23" spans="1:1" x14ac:dyDescent="0.25">
      <c r="A23" s="173" t="s">
        <v>297</v>
      </c>
    </row>
    <row r="24" spans="1:1" x14ac:dyDescent="0.25">
      <c r="A24" s="173" t="s">
        <v>298</v>
      </c>
    </row>
    <row r="25" spans="1:1" x14ac:dyDescent="0.25">
      <c r="A25" s="173" t="s">
        <v>299</v>
      </c>
    </row>
    <row r="26" spans="1:1" x14ac:dyDescent="0.25">
      <c r="A26" s="173" t="s">
        <v>300</v>
      </c>
    </row>
    <row r="27" spans="1:1" x14ac:dyDescent="0.25">
      <c r="A27" s="173"/>
    </row>
    <row r="28" spans="1:1" x14ac:dyDescent="0.25">
      <c r="A28" s="173" t="s">
        <v>301</v>
      </c>
    </row>
    <row r="29" spans="1:1" x14ac:dyDescent="0.25">
      <c r="A29" s="173" t="s">
        <v>302</v>
      </c>
    </row>
    <row r="30" spans="1:1" x14ac:dyDescent="0.25">
      <c r="A30" s="173" t="s">
        <v>303</v>
      </c>
    </row>
    <row r="31" spans="1:1" x14ac:dyDescent="0.25">
      <c r="A31" s="173"/>
    </row>
    <row r="32" spans="1:1" x14ac:dyDescent="0.25">
      <c r="A32" s="173" t="s">
        <v>304</v>
      </c>
    </row>
    <row r="33" spans="1:1" x14ac:dyDescent="0.25">
      <c r="A33" s="173" t="s">
        <v>305</v>
      </c>
    </row>
    <row r="34" spans="1:1" x14ac:dyDescent="0.25">
      <c r="A34" s="173" t="s">
        <v>306</v>
      </c>
    </row>
    <row r="35" spans="1:1" x14ac:dyDescent="0.25">
      <c r="A35" s="173"/>
    </row>
    <row r="36" spans="1:1" x14ac:dyDescent="0.25">
      <c r="A36" s="173" t="s">
        <v>307</v>
      </c>
    </row>
    <row r="37" spans="1:1" x14ac:dyDescent="0.25">
      <c r="A37" s="173" t="s">
        <v>308</v>
      </c>
    </row>
    <row r="38" spans="1:1" x14ac:dyDescent="0.25">
      <c r="A38" s="173" t="s">
        <v>309</v>
      </c>
    </row>
    <row r="39" spans="1:1" x14ac:dyDescent="0.25">
      <c r="A39" s="173"/>
    </row>
    <row r="40" spans="1:1" x14ac:dyDescent="0.25">
      <c r="A40" s="173" t="s">
        <v>310</v>
      </c>
    </row>
    <row r="41" spans="1:1" x14ac:dyDescent="0.25">
      <c r="A41" s="173" t="s">
        <v>311</v>
      </c>
    </row>
    <row r="42" spans="1:1" x14ac:dyDescent="0.25">
      <c r="A42" s="173" t="s">
        <v>312</v>
      </c>
    </row>
  </sheetData>
  <hyperlinks>
    <hyperlink ref="B1" location="Index!A1" display="INDEX"/>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64"/>
  <sheetViews>
    <sheetView topLeftCell="A7" workbookViewId="0">
      <selection sqref="A1:A64"/>
    </sheetView>
  </sheetViews>
  <sheetFormatPr defaultRowHeight="15" x14ac:dyDescent="0.25"/>
  <cols>
    <col min="1" max="1" width="2.42578125" style="16" customWidth="1"/>
    <col min="2" max="2" width="9.140625" style="16"/>
    <col min="3" max="3" width="8.85546875" style="16" customWidth="1"/>
    <col min="4" max="4" width="9.85546875" style="16" customWidth="1"/>
    <col min="5" max="5" width="12" style="16" customWidth="1"/>
    <col min="6" max="6" width="21.42578125" style="16" customWidth="1"/>
    <col min="7" max="7" width="3.42578125" style="16" customWidth="1"/>
    <col min="8" max="8" width="5.28515625" style="16" customWidth="1"/>
    <col min="9" max="9" width="6.85546875" style="16" customWidth="1"/>
    <col min="10" max="10" width="9.140625" style="16"/>
    <col min="11" max="11" width="2.42578125" style="16" customWidth="1"/>
    <col min="12" max="12" width="13.42578125" style="16" bestFit="1" customWidth="1"/>
    <col min="13" max="13" width="16.140625" style="16" customWidth="1"/>
    <col min="14" max="14" width="2.28515625" style="16" customWidth="1"/>
    <col min="15" max="16384" width="9.140625" style="16"/>
  </cols>
  <sheetData>
    <row r="1" spans="1:15" ht="12.75" customHeight="1" x14ac:dyDescent="0.25">
      <c r="A1" s="212"/>
      <c r="B1" s="218"/>
      <c r="C1" s="218"/>
      <c r="D1" s="218"/>
      <c r="E1" s="218"/>
      <c r="F1" s="218"/>
      <c r="G1" s="218"/>
      <c r="H1" s="218"/>
      <c r="I1" s="218"/>
      <c r="J1" s="218"/>
      <c r="K1" s="218"/>
      <c r="L1" s="218"/>
      <c r="M1" s="218"/>
      <c r="N1" s="215"/>
      <c r="O1" s="167" t="s">
        <v>426</v>
      </c>
    </row>
    <row r="2" spans="1:15" ht="21" x14ac:dyDescent="0.25">
      <c r="A2" s="213"/>
      <c r="B2" s="206" t="s">
        <v>282</v>
      </c>
      <c r="C2" s="207"/>
      <c r="D2" s="207"/>
      <c r="E2" s="207"/>
      <c r="F2" s="207"/>
      <c r="G2" s="207"/>
      <c r="H2" s="207"/>
      <c r="I2" s="207"/>
      <c r="J2" s="207"/>
      <c r="K2" s="207"/>
      <c r="L2" s="207"/>
      <c r="M2" s="208"/>
      <c r="N2" s="216"/>
    </row>
    <row r="3" spans="1:15" x14ac:dyDescent="0.25">
      <c r="A3" s="213"/>
      <c r="B3" s="22"/>
      <c r="C3" s="21"/>
      <c r="D3" s="21"/>
      <c r="E3" s="21"/>
      <c r="F3" s="21"/>
      <c r="G3" s="21"/>
      <c r="H3" s="21"/>
      <c r="I3" s="21"/>
      <c r="J3" s="21"/>
      <c r="K3" s="21"/>
      <c r="L3" s="21"/>
      <c r="M3" s="23"/>
      <c r="N3" s="216"/>
    </row>
    <row r="4" spans="1:15" x14ac:dyDescent="0.25">
      <c r="A4" s="213"/>
      <c r="B4" s="230" t="s">
        <v>59</v>
      </c>
      <c r="C4" s="230"/>
      <c r="D4" s="230"/>
      <c r="E4" s="230"/>
      <c r="F4" s="230"/>
      <c r="G4" s="21"/>
      <c r="H4" s="21"/>
      <c r="I4" s="21"/>
      <c r="J4" s="21"/>
      <c r="K4" s="21"/>
      <c r="L4" s="21"/>
      <c r="M4" s="23"/>
      <c r="N4" s="216"/>
    </row>
    <row r="5" spans="1:15" ht="18" x14ac:dyDescent="0.25">
      <c r="A5" s="213"/>
      <c r="B5" s="17" t="s">
        <v>11</v>
      </c>
      <c r="C5" s="59">
        <v>25</v>
      </c>
      <c r="D5" s="18" t="s">
        <v>12</v>
      </c>
      <c r="E5" s="183" t="s">
        <v>13</v>
      </c>
      <c r="F5" s="183"/>
      <c r="G5" s="21"/>
      <c r="H5" s="209" t="s">
        <v>243</v>
      </c>
      <c r="I5" s="21"/>
      <c r="J5" s="21"/>
      <c r="K5" s="21"/>
      <c r="L5" s="21"/>
      <c r="M5" s="23"/>
      <c r="N5" s="216"/>
    </row>
    <row r="6" spans="1:15" ht="18" x14ac:dyDescent="0.25">
      <c r="A6" s="213"/>
      <c r="B6" s="17" t="s">
        <v>9</v>
      </c>
      <c r="C6" s="59">
        <v>3000</v>
      </c>
      <c r="D6" s="18" t="s">
        <v>16</v>
      </c>
      <c r="E6" s="183" t="s">
        <v>17</v>
      </c>
      <c r="F6" s="183"/>
      <c r="G6" s="21"/>
      <c r="H6" s="210"/>
      <c r="I6" s="21"/>
      <c r="J6" s="187" t="s">
        <v>224</v>
      </c>
      <c r="K6" s="220"/>
      <c r="L6" s="220"/>
      <c r="M6" s="188"/>
      <c r="N6" s="216"/>
    </row>
    <row r="7" spans="1:15" x14ac:dyDescent="0.25">
      <c r="A7" s="213"/>
      <c r="B7" s="17" t="s">
        <v>14</v>
      </c>
      <c r="C7" s="74">
        <v>0.70086056885614889</v>
      </c>
      <c r="D7" s="18"/>
      <c r="E7" s="183" t="s">
        <v>15</v>
      </c>
      <c r="F7" s="183"/>
      <c r="G7" s="21"/>
      <c r="H7" s="210"/>
      <c r="I7" s="21"/>
      <c r="J7" s="22"/>
      <c r="K7" s="21"/>
      <c r="L7" s="21"/>
      <c r="M7" s="23"/>
      <c r="N7" s="216"/>
    </row>
    <row r="8" spans="1:15" ht="18" x14ac:dyDescent="0.25">
      <c r="A8" s="213"/>
      <c r="B8" s="17" t="s">
        <v>244</v>
      </c>
      <c r="C8" s="75">
        <v>39.948354895670299</v>
      </c>
      <c r="D8" s="18" t="s">
        <v>19</v>
      </c>
      <c r="E8" s="183" t="s">
        <v>18</v>
      </c>
      <c r="F8" s="183"/>
      <c r="G8" s="21"/>
      <c r="H8" s="210"/>
      <c r="I8" s="21"/>
      <c r="J8" s="22"/>
      <c r="K8" s="21"/>
      <c r="L8" s="21"/>
      <c r="M8" s="23"/>
      <c r="N8" s="216"/>
    </row>
    <row r="9" spans="1:15" ht="18" x14ac:dyDescent="0.25">
      <c r="A9" s="213"/>
      <c r="B9" s="17" t="s">
        <v>157</v>
      </c>
      <c r="C9" s="19">
        <f>(141.5/(131.5+C8))</f>
        <v>0.82532142163805267</v>
      </c>
      <c r="D9" s="18"/>
      <c r="E9" s="183" t="s">
        <v>143</v>
      </c>
      <c r="F9" s="183"/>
      <c r="G9" s="21"/>
      <c r="H9" s="210"/>
      <c r="I9" s="21"/>
      <c r="J9" s="22"/>
      <c r="K9" s="21"/>
      <c r="L9" s="21"/>
      <c r="M9" s="23"/>
      <c r="N9" s="216"/>
    </row>
    <row r="10" spans="1:15" x14ac:dyDescent="0.25">
      <c r="A10" s="213"/>
      <c r="B10" s="17" t="s">
        <v>3</v>
      </c>
      <c r="C10" s="59">
        <f>800+14.5</f>
        <v>814.5</v>
      </c>
      <c r="D10" s="18" t="s">
        <v>20</v>
      </c>
      <c r="E10" s="183" t="s">
        <v>21</v>
      </c>
      <c r="F10" s="183"/>
      <c r="G10" s="21"/>
      <c r="H10" s="210"/>
      <c r="I10" s="21"/>
      <c r="J10" s="88"/>
      <c r="K10" s="21"/>
      <c r="L10" s="21"/>
      <c r="M10" s="23"/>
      <c r="N10" s="216"/>
    </row>
    <row r="11" spans="1:15" ht="17.25" x14ac:dyDescent="0.25">
      <c r="A11" s="213"/>
      <c r="B11" s="17" t="s">
        <v>245</v>
      </c>
      <c r="C11" s="59">
        <v>80</v>
      </c>
      <c r="D11" s="18" t="s">
        <v>23</v>
      </c>
      <c r="E11" s="183" t="s">
        <v>22</v>
      </c>
      <c r="F11" s="183"/>
      <c r="G11" s="21"/>
      <c r="H11" s="210"/>
      <c r="I11" s="21"/>
      <c r="J11" s="22"/>
      <c r="K11" s="21"/>
      <c r="L11" s="21"/>
      <c r="M11" s="23"/>
      <c r="N11" s="216"/>
    </row>
    <row r="12" spans="1:15" ht="17.25" x14ac:dyDescent="0.25">
      <c r="A12" s="213"/>
      <c r="B12" s="17" t="s">
        <v>4</v>
      </c>
      <c r="C12" s="20">
        <f>C11+459.67</f>
        <v>539.67000000000007</v>
      </c>
      <c r="D12" s="18" t="s">
        <v>24</v>
      </c>
      <c r="E12" s="183" t="s">
        <v>22</v>
      </c>
      <c r="F12" s="183"/>
      <c r="G12" s="21"/>
      <c r="H12" s="210"/>
      <c r="I12" s="21"/>
      <c r="J12" s="22"/>
      <c r="K12" s="21"/>
      <c r="L12" s="21"/>
      <c r="M12" s="23"/>
      <c r="N12" s="216"/>
    </row>
    <row r="13" spans="1:15" x14ac:dyDescent="0.25">
      <c r="A13" s="213"/>
      <c r="B13" s="17" t="s">
        <v>225</v>
      </c>
      <c r="C13" s="76">
        <v>20.3</v>
      </c>
      <c r="D13" s="18" t="s">
        <v>226</v>
      </c>
      <c r="E13" s="43" t="s">
        <v>227</v>
      </c>
      <c r="F13" s="48"/>
      <c r="G13" s="21"/>
      <c r="H13" s="210"/>
      <c r="I13" s="21"/>
      <c r="J13" s="22"/>
      <c r="K13" s="21"/>
      <c r="L13" s="21"/>
      <c r="M13" s="23"/>
      <c r="N13" s="216"/>
    </row>
    <row r="14" spans="1:15" x14ac:dyDescent="0.25">
      <c r="A14" s="213"/>
      <c r="B14" s="17" t="s">
        <v>10</v>
      </c>
      <c r="C14" s="59">
        <v>1</v>
      </c>
      <c r="D14" s="18" t="s">
        <v>25</v>
      </c>
      <c r="E14" s="183" t="s">
        <v>103</v>
      </c>
      <c r="F14" s="183"/>
      <c r="G14" s="21"/>
      <c r="H14" s="210"/>
      <c r="I14" s="21"/>
      <c r="J14" s="22"/>
      <c r="K14" s="21"/>
      <c r="L14" s="21"/>
      <c r="M14" s="23"/>
      <c r="N14" s="216"/>
    </row>
    <row r="15" spans="1:15" x14ac:dyDescent="0.25">
      <c r="A15" s="213"/>
      <c r="B15" s="17" t="s">
        <v>5</v>
      </c>
      <c r="C15" s="59">
        <v>0.84</v>
      </c>
      <c r="D15" s="18"/>
      <c r="E15" s="183" t="s">
        <v>28</v>
      </c>
      <c r="F15" s="183"/>
      <c r="G15" s="21"/>
      <c r="H15" s="210"/>
      <c r="I15" s="21"/>
      <c r="J15" s="22"/>
      <c r="K15" s="21"/>
      <c r="L15" s="21"/>
      <c r="M15" s="23"/>
      <c r="N15" s="216"/>
    </row>
    <row r="16" spans="1:15" ht="18" x14ac:dyDescent="0.25">
      <c r="A16" s="213"/>
      <c r="B16" s="17" t="s">
        <v>8</v>
      </c>
      <c r="C16" s="59">
        <v>1.2999999999999999E-2</v>
      </c>
      <c r="D16" s="18" t="s">
        <v>29</v>
      </c>
      <c r="E16" s="183" t="s">
        <v>30</v>
      </c>
      <c r="F16" s="183"/>
      <c r="G16" s="21"/>
      <c r="H16" s="210"/>
      <c r="I16" s="21"/>
      <c r="J16" s="22"/>
      <c r="K16" s="21"/>
      <c r="L16" s="21"/>
      <c r="M16" s="23"/>
      <c r="N16" s="216"/>
    </row>
    <row r="17" spans="1:14" x14ac:dyDescent="0.25">
      <c r="A17" s="213"/>
      <c r="B17" s="17" t="s">
        <v>100</v>
      </c>
      <c r="C17" s="59">
        <v>10</v>
      </c>
      <c r="D17" s="18" t="s">
        <v>57</v>
      </c>
      <c r="E17" s="183" t="s">
        <v>102</v>
      </c>
      <c r="F17" s="183"/>
      <c r="G17" s="21"/>
      <c r="H17" s="210"/>
      <c r="I17" s="21"/>
      <c r="J17" s="22"/>
      <c r="K17" s="21"/>
      <c r="L17" s="21"/>
      <c r="M17" s="23"/>
      <c r="N17" s="216"/>
    </row>
    <row r="18" spans="1:14" x14ac:dyDescent="0.25">
      <c r="A18" s="213"/>
      <c r="B18" s="17" t="s">
        <v>72</v>
      </c>
      <c r="C18" s="74">
        <v>0.3</v>
      </c>
      <c r="D18" s="18" t="s">
        <v>39</v>
      </c>
      <c r="E18" s="183" t="s">
        <v>99</v>
      </c>
      <c r="F18" s="183"/>
      <c r="G18" s="21"/>
      <c r="H18" s="210"/>
      <c r="I18" s="21"/>
      <c r="J18" s="22"/>
      <c r="K18" s="21"/>
      <c r="L18" s="21"/>
      <c r="M18" s="23"/>
      <c r="N18" s="216"/>
    </row>
    <row r="19" spans="1:14" ht="18" x14ac:dyDescent="0.25">
      <c r="A19" s="213"/>
      <c r="B19" s="17" t="s">
        <v>129</v>
      </c>
      <c r="C19" s="77">
        <v>0.3</v>
      </c>
      <c r="D19" s="18"/>
      <c r="E19" s="183" t="s">
        <v>101</v>
      </c>
      <c r="F19" s="183"/>
      <c r="G19" s="21"/>
      <c r="H19" s="211"/>
      <c r="I19" s="21"/>
      <c r="J19" s="26"/>
      <c r="K19" s="27"/>
      <c r="L19" s="27"/>
      <c r="M19" s="28"/>
      <c r="N19" s="216"/>
    </row>
    <row r="20" spans="1:14" x14ac:dyDescent="0.25">
      <c r="A20" s="213"/>
      <c r="B20" s="85"/>
      <c r="C20" s="21"/>
      <c r="D20" s="21"/>
      <c r="E20" s="229"/>
      <c r="F20" s="229"/>
      <c r="G20" s="21"/>
      <c r="H20" s="21"/>
      <c r="I20" s="21"/>
      <c r="J20" s="21"/>
      <c r="K20" s="21"/>
      <c r="L20" s="21"/>
      <c r="M20" s="23"/>
      <c r="N20" s="216"/>
    </row>
    <row r="21" spans="1:14" x14ac:dyDescent="0.25">
      <c r="A21" s="213"/>
      <c r="B21" s="195" t="s">
        <v>60</v>
      </c>
      <c r="C21" s="195"/>
      <c r="D21" s="195"/>
      <c r="E21" s="195"/>
      <c r="F21" s="195"/>
      <c r="G21" s="21"/>
      <c r="H21" s="187" t="s">
        <v>61</v>
      </c>
      <c r="I21" s="220"/>
      <c r="J21" s="188"/>
      <c r="K21" s="21"/>
      <c r="L21" s="187" t="s">
        <v>85</v>
      </c>
      <c r="M21" s="188"/>
      <c r="N21" s="216"/>
    </row>
    <row r="22" spans="1:14" x14ac:dyDescent="0.25">
      <c r="A22" s="213"/>
      <c r="B22" s="86" t="s">
        <v>26</v>
      </c>
      <c r="C22" s="21" t="s">
        <v>27</v>
      </c>
      <c r="D22" s="21"/>
      <c r="E22" s="87"/>
      <c r="F22" s="87"/>
      <c r="G22" s="21"/>
      <c r="H22" s="22"/>
      <c r="I22" s="21"/>
      <c r="J22" s="23"/>
      <c r="K22" s="21"/>
      <c r="L22" s="22"/>
      <c r="M22" s="23"/>
      <c r="N22" s="216"/>
    </row>
    <row r="23" spans="1:14" ht="18" x14ac:dyDescent="0.25">
      <c r="A23" s="213"/>
      <c r="B23" s="17" t="s">
        <v>0</v>
      </c>
      <c r="C23" s="24">
        <f>2.7*C7*C10/C12/C15</f>
        <v>3.4</v>
      </c>
      <c r="D23" s="18" t="s">
        <v>31</v>
      </c>
      <c r="E23" s="183" t="s">
        <v>69</v>
      </c>
      <c r="F23" s="183"/>
      <c r="G23" s="21"/>
      <c r="H23" s="22"/>
      <c r="I23" s="21"/>
      <c r="J23" s="23"/>
      <c r="K23" s="21"/>
      <c r="L23" s="227" t="s">
        <v>97</v>
      </c>
      <c r="M23" s="228"/>
      <c r="N23" s="216"/>
    </row>
    <row r="24" spans="1:14" ht="30" x14ac:dyDescent="0.25">
      <c r="A24" s="213"/>
      <c r="B24" s="17" t="s">
        <v>32</v>
      </c>
      <c r="C24" s="24">
        <f>62.4*C9</f>
        <v>51.500056710214487</v>
      </c>
      <c r="D24" s="18" t="s">
        <v>31</v>
      </c>
      <c r="E24" s="183" t="s">
        <v>70</v>
      </c>
      <c r="F24" s="183"/>
      <c r="G24" s="21"/>
      <c r="H24" s="22"/>
      <c r="I24" s="21"/>
      <c r="J24" s="23"/>
      <c r="K24" s="21"/>
      <c r="L24" s="49" t="s">
        <v>86</v>
      </c>
      <c r="M24" s="33" t="s">
        <v>87</v>
      </c>
      <c r="N24" s="216"/>
    </row>
    <row r="25" spans="1:14" x14ac:dyDescent="0.25">
      <c r="A25" s="213"/>
      <c r="B25" s="22"/>
      <c r="C25" s="21"/>
      <c r="D25" s="21"/>
      <c r="E25" s="229"/>
      <c r="F25" s="229"/>
      <c r="G25" s="21"/>
      <c r="H25" s="22"/>
      <c r="I25" s="21"/>
      <c r="J25" s="23"/>
      <c r="K25" s="21"/>
      <c r="L25" s="50">
        <v>5</v>
      </c>
      <c r="M25" s="50" t="s">
        <v>88</v>
      </c>
      <c r="N25" s="216"/>
    </row>
    <row r="26" spans="1:14" x14ac:dyDescent="0.25">
      <c r="A26" s="213"/>
      <c r="B26" s="86" t="s">
        <v>33</v>
      </c>
      <c r="C26" s="21"/>
      <c r="D26" s="21"/>
      <c r="E26" s="229"/>
      <c r="F26" s="229"/>
      <c r="G26" s="21"/>
      <c r="H26" s="22"/>
      <c r="I26" s="21"/>
      <c r="J26" s="23"/>
      <c r="K26" s="21"/>
      <c r="L26" s="50">
        <v>10</v>
      </c>
      <c r="M26" s="50" t="s">
        <v>89</v>
      </c>
      <c r="N26" s="216"/>
    </row>
    <row r="27" spans="1:14" ht="18" x14ac:dyDescent="0.25">
      <c r="A27" s="213"/>
      <c r="B27" s="18" t="s">
        <v>71</v>
      </c>
      <c r="C27" s="19">
        <f>C18*SQRT((C24-C23)/C23)</f>
        <v>1.1283779487699959</v>
      </c>
      <c r="D27" s="18" t="s">
        <v>39</v>
      </c>
      <c r="E27" s="183"/>
      <c r="F27" s="183"/>
      <c r="G27" s="21"/>
      <c r="H27" s="22"/>
      <c r="I27" s="21"/>
      <c r="J27" s="23"/>
      <c r="K27" s="21"/>
      <c r="L27" s="14"/>
      <c r="M27" s="15"/>
      <c r="N27" s="216"/>
    </row>
    <row r="28" spans="1:14" ht="18" x14ac:dyDescent="0.25">
      <c r="A28" s="213"/>
      <c r="B28" s="18" t="s">
        <v>73</v>
      </c>
      <c r="C28" s="19">
        <f>C5*1000000*C13/379.5/86400/C23</f>
        <v>4.5523076746435649</v>
      </c>
      <c r="D28" s="18" t="s">
        <v>77</v>
      </c>
      <c r="E28" s="183" t="s">
        <v>74</v>
      </c>
      <c r="F28" s="183"/>
      <c r="G28" s="21"/>
      <c r="H28" s="22"/>
      <c r="I28" s="21"/>
      <c r="J28" s="23"/>
      <c r="K28" s="21"/>
      <c r="L28" s="227" t="s">
        <v>98</v>
      </c>
      <c r="M28" s="228"/>
      <c r="N28" s="216"/>
    </row>
    <row r="29" spans="1:14" ht="45" x14ac:dyDescent="0.25">
      <c r="A29" s="213"/>
      <c r="B29" s="18" t="s">
        <v>75</v>
      </c>
      <c r="C29" s="19">
        <f>C28/C27</f>
        <v>4.034381990188546</v>
      </c>
      <c r="D29" s="18" t="s">
        <v>76</v>
      </c>
      <c r="E29" s="183" t="s">
        <v>78</v>
      </c>
      <c r="F29" s="183"/>
      <c r="G29" s="21"/>
      <c r="H29" s="26"/>
      <c r="I29" s="27"/>
      <c r="J29" s="28"/>
      <c r="K29" s="21"/>
      <c r="L29" s="49" t="s">
        <v>91</v>
      </c>
      <c r="M29" s="33" t="s">
        <v>109</v>
      </c>
      <c r="N29" s="216"/>
    </row>
    <row r="30" spans="1:14" ht="18" x14ac:dyDescent="0.25">
      <c r="A30" s="213"/>
      <c r="B30" s="18" t="s">
        <v>47</v>
      </c>
      <c r="C30" s="20">
        <f>SQRT(4/3.142*C29)*12</f>
        <v>27.195475683070043</v>
      </c>
      <c r="D30" s="18" t="s">
        <v>48</v>
      </c>
      <c r="E30" s="183" t="s">
        <v>79</v>
      </c>
      <c r="F30" s="183"/>
      <c r="G30" s="21"/>
      <c r="H30" s="21"/>
      <c r="I30" s="21"/>
      <c r="J30" s="21"/>
      <c r="K30" s="21"/>
      <c r="L30" s="50" t="s">
        <v>92</v>
      </c>
      <c r="M30" s="50">
        <v>1</v>
      </c>
      <c r="N30" s="216"/>
    </row>
    <row r="31" spans="1:14" ht="18" customHeight="1" x14ac:dyDescent="0.25">
      <c r="A31" s="213"/>
      <c r="B31" s="22"/>
      <c r="C31" s="21"/>
      <c r="D31" s="21"/>
      <c r="E31" s="21"/>
      <c r="F31" s="21"/>
      <c r="G31" s="21"/>
      <c r="H31" s="21"/>
      <c r="I31" s="21"/>
      <c r="J31" s="21"/>
      <c r="K31" s="21"/>
      <c r="L31" s="50" t="s">
        <v>93</v>
      </c>
      <c r="M31" s="50" t="s">
        <v>95</v>
      </c>
      <c r="N31" s="216"/>
    </row>
    <row r="32" spans="1:14" ht="18" customHeight="1" x14ac:dyDescent="0.25">
      <c r="A32" s="213"/>
      <c r="B32" s="78" t="s">
        <v>247</v>
      </c>
      <c r="C32" s="79">
        <v>30</v>
      </c>
      <c r="D32" s="78" t="s">
        <v>48</v>
      </c>
      <c r="E32" s="233" t="s">
        <v>236</v>
      </c>
      <c r="F32" s="234"/>
      <c r="G32" s="21"/>
      <c r="K32" s="21"/>
      <c r="L32" s="50" t="s">
        <v>94</v>
      </c>
      <c r="M32" s="50" t="s">
        <v>96</v>
      </c>
      <c r="N32" s="216"/>
    </row>
    <row r="33" spans="1:14" x14ac:dyDescent="0.25">
      <c r="A33" s="213"/>
      <c r="B33" s="78" t="s">
        <v>100</v>
      </c>
      <c r="C33" s="81">
        <f>C17</f>
        <v>10</v>
      </c>
      <c r="D33" s="78" t="s">
        <v>57</v>
      </c>
      <c r="E33" s="82" t="s">
        <v>274</v>
      </c>
      <c r="F33" s="83"/>
      <c r="G33" s="21"/>
      <c r="K33" s="21"/>
      <c r="L33" s="80"/>
      <c r="M33" s="15"/>
      <c r="N33" s="216"/>
    </row>
    <row r="34" spans="1:14" x14ac:dyDescent="0.25">
      <c r="A34" s="213"/>
      <c r="B34" s="78" t="s">
        <v>279</v>
      </c>
      <c r="C34" s="84">
        <f>C33*12/C32</f>
        <v>4</v>
      </c>
      <c r="D34" s="78" t="s">
        <v>280</v>
      </c>
      <c r="E34" s="82" t="s">
        <v>281</v>
      </c>
      <c r="F34" s="83"/>
      <c r="G34" s="21"/>
      <c r="H34" s="21"/>
      <c r="I34" s="21"/>
      <c r="J34" s="21"/>
      <c r="K34" s="21"/>
      <c r="L34" s="80"/>
      <c r="M34" s="15"/>
      <c r="N34" s="216"/>
    </row>
    <row r="35" spans="1:14" x14ac:dyDescent="0.25">
      <c r="A35" s="213"/>
      <c r="B35" s="22"/>
      <c r="C35" s="21"/>
      <c r="D35" s="21"/>
      <c r="E35" s="51"/>
      <c r="F35" s="51"/>
      <c r="G35" s="21"/>
      <c r="H35" s="21"/>
      <c r="I35" s="21"/>
      <c r="J35" s="21"/>
      <c r="K35" s="21"/>
      <c r="L35" s="80"/>
      <c r="M35" s="15"/>
      <c r="N35" s="216"/>
    </row>
    <row r="36" spans="1:14" x14ac:dyDescent="0.25">
      <c r="A36" s="213"/>
      <c r="B36" s="86" t="s">
        <v>44</v>
      </c>
      <c r="C36" s="21"/>
      <c r="D36" s="21"/>
      <c r="E36" s="87"/>
      <c r="F36" s="87"/>
      <c r="G36" s="21"/>
      <c r="H36" s="21"/>
      <c r="I36" s="21"/>
      <c r="J36" s="21"/>
      <c r="K36" s="21"/>
      <c r="L36" s="21"/>
      <c r="M36" s="23"/>
      <c r="N36" s="216"/>
    </row>
    <row r="37" spans="1:14" ht="32.25" customHeight="1" x14ac:dyDescent="0.25">
      <c r="A37" s="213"/>
      <c r="B37" s="18" t="s">
        <v>81</v>
      </c>
      <c r="C37" s="24">
        <f>C32^2*3.142/4*C17*C19/144/5.615</f>
        <v>2.6229964381121986</v>
      </c>
      <c r="D37" s="18" t="s">
        <v>82</v>
      </c>
      <c r="E37" s="183" t="s">
        <v>83</v>
      </c>
      <c r="F37" s="183"/>
      <c r="G37" s="21"/>
      <c r="H37" s="21"/>
      <c r="I37" s="21"/>
      <c r="J37" s="21"/>
      <c r="K37" s="21"/>
      <c r="L37" s="21"/>
      <c r="M37" s="23"/>
      <c r="N37" s="216"/>
    </row>
    <row r="38" spans="1:14" ht="32.25" customHeight="1" x14ac:dyDescent="0.25">
      <c r="A38" s="213"/>
      <c r="B38" s="18" t="s">
        <v>80</v>
      </c>
      <c r="C38" s="20">
        <f>1440*C37/C14</f>
        <v>3777.1148708815658</v>
      </c>
      <c r="D38" s="18" t="s">
        <v>84</v>
      </c>
      <c r="E38" s="183" t="str">
        <f>"Liquid capacity of separator should be more than "&amp;C6 &amp; " bpd (input value)"</f>
        <v>Liquid capacity of separator should be more than 3000 bpd (input value)</v>
      </c>
      <c r="F38" s="183"/>
      <c r="G38" s="21"/>
      <c r="H38" s="21"/>
      <c r="I38" s="21"/>
      <c r="J38" s="21"/>
      <c r="K38" s="21"/>
      <c r="L38" s="21"/>
      <c r="M38" s="23"/>
      <c r="N38" s="216"/>
    </row>
    <row r="39" spans="1:14" x14ac:dyDescent="0.25">
      <c r="A39" s="213"/>
      <c r="B39" s="22"/>
      <c r="C39" s="21"/>
      <c r="D39" s="21"/>
      <c r="E39" s="229"/>
      <c r="F39" s="229"/>
      <c r="G39" s="21"/>
      <c r="H39" s="21"/>
      <c r="I39" s="21"/>
      <c r="J39" s="21"/>
      <c r="K39" s="21"/>
      <c r="L39" s="21"/>
      <c r="M39" s="23"/>
      <c r="N39" s="216"/>
    </row>
    <row r="40" spans="1:14" x14ac:dyDescent="0.25">
      <c r="A40" s="213"/>
      <c r="B40" s="187" t="s">
        <v>132</v>
      </c>
      <c r="C40" s="220"/>
      <c r="D40" s="220"/>
      <c r="E40" s="220"/>
      <c r="F40" s="220"/>
      <c r="G40" s="220"/>
      <c r="H40" s="220"/>
      <c r="I40" s="220"/>
      <c r="J40" s="220"/>
      <c r="K40" s="220"/>
      <c r="L40" s="220"/>
      <c r="M40" s="188"/>
      <c r="N40" s="216"/>
    </row>
    <row r="41" spans="1:14" ht="15" customHeight="1" x14ac:dyDescent="0.25">
      <c r="A41" s="213"/>
      <c r="B41" s="221" t="s">
        <v>90</v>
      </c>
      <c r="C41" s="222"/>
      <c r="D41" s="222"/>
      <c r="E41" s="222"/>
      <c r="F41" s="222"/>
      <c r="G41" s="222"/>
      <c r="H41" s="222"/>
      <c r="I41" s="222"/>
      <c r="J41" s="222"/>
      <c r="K41" s="222"/>
      <c r="L41" s="222"/>
      <c r="M41" s="223"/>
      <c r="N41" s="216"/>
    </row>
    <row r="42" spans="1:14" x14ac:dyDescent="0.25">
      <c r="A42" s="213"/>
      <c r="B42" s="224"/>
      <c r="C42" s="225"/>
      <c r="D42" s="225"/>
      <c r="E42" s="225"/>
      <c r="F42" s="225"/>
      <c r="G42" s="225"/>
      <c r="H42" s="225"/>
      <c r="I42" s="225"/>
      <c r="J42" s="225"/>
      <c r="K42" s="225"/>
      <c r="L42" s="225"/>
      <c r="M42" s="226"/>
      <c r="N42" s="216"/>
    </row>
    <row r="43" spans="1:14" x14ac:dyDescent="0.25">
      <c r="A43" s="213"/>
      <c r="B43" s="55" t="s">
        <v>104</v>
      </c>
      <c r="C43" s="56"/>
      <c r="D43" s="56"/>
      <c r="E43" s="56"/>
      <c r="F43" s="56"/>
      <c r="G43" s="56"/>
      <c r="H43" s="56"/>
      <c r="I43" s="56"/>
      <c r="J43" s="56"/>
      <c r="K43" s="56"/>
      <c r="L43" s="56"/>
      <c r="M43" s="57"/>
      <c r="N43" s="216"/>
    </row>
    <row r="44" spans="1:14" x14ac:dyDescent="0.25">
      <c r="A44" s="213"/>
      <c r="B44" s="22"/>
      <c r="C44" s="231" t="s">
        <v>106</v>
      </c>
      <c r="D44" s="231"/>
      <c r="E44" s="49" t="s">
        <v>107</v>
      </c>
      <c r="F44" s="21"/>
      <c r="G44" s="200" t="s">
        <v>413</v>
      </c>
      <c r="H44" s="201"/>
      <c r="I44" s="201"/>
      <c r="J44" s="201"/>
      <c r="K44" s="201"/>
      <c r="L44" s="202"/>
      <c r="M44" s="23"/>
      <c r="N44" s="216"/>
    </row>
    <row r="45" spans="1:14" x14ac:dyDescent="0.25">
      <c r="A45" s="213"/>
      <c r="B45" s="30"/>
      <c r="C45" s="232">
        <v>0</v>
      </c>
      <c r="D45" s="232"/>
      <c r="E45" s="29">
        <v>0.107</v>
      </c>
      <c r="F45" s="21"/>
      <c r="G45" s="200" t="s">
        <v>411</v>
      </c>
      <c r="H45" s="201"/>
      <c r="I45" s="202"/>
      <c r="J45" s="200" t="s">
        <v>412</v>
      </c>
      <c r="K45" s="201"/>
      <c r="L45" s="202"/>
      <c r="M45" s="23"/>
      <c r="N45" s="216"/>
    </row>
    <row r="46" spans="1:14" x14ac:dyDescent="0.25">
      <c r="A46" s="213"/>
      <c r="B46" s="30"/>
      <c r="C46" s="232">
        <v>7</v>
      </c>
      <c r="D46" s="232"/>
      <c r="E46" s="29">
        <v>0.107</v>
      </c>
      <c r="F46" s="21"/>
      <c r="G46" s="203" t="s">
        <v>414</v>
      </c>
      <c r="H46" s="204"/>
      <c r="I46" s="205"/>
      <c r="J46" s="203">
        <v>100</v>
      </c>
      <c r="K46" s="204"/>
      <c r="L46" s="205"/>
      <c r="M46" s="23"/>
      <c r="N46" s="216"/>
    </row>
    <row r="47" spans="1:14" x14ac:dyDescent="0.25">
      <c r="A47" s="213"/>
      <c r="B47" s="30"/>
      <c r="C47" s="232">
        <v>21</v>
      </c>
      <c r="D47" s="232"/>
      <c r="E47" s="29">
        <v>0.10100000000000001</v>
      </c>
      <c r="F47" s="21"/>
      <c r="G47" s="203">
        <v>150</v>
      </c>
      <c r="H47" s="204"/>
      <c r="I47" s="205"/>
      <c r="J47" s="203">
        <v>90</v>
      </c>
      <c r="K47" s="204"/>
      <c r="L47" s="205"/>
      <c r="M47" s="23"/>
      <c r="N47" s="216"/>
    </row>
    <row r="48" spans="1:14" x14ac:dyDescent="0.25">
      <c r="A48" s="213"/>
      <c r="B48" s="30"/>
      <c r="C48" s="232">
        <v>42</v>
      </c>
      <c r="D48" s="232"/>
      <c r="E48" s="29">
        <v>9.1999999999999998E-2</v>
      </c>
      <c r="F48" s="21"/>
      <c r="G48" s="203">
        <v>300</v>
      </c>
      <c r="H48" s="204"/>
      <c r="I48" s="205"/>
      <c r="J48" s="203">
        <v>85</v>
      </c>
      <c r="K48" s="204"/>
      <c r="L48" s="205"/>
      <c r="M48" s="23"/>
      <c r="N48" s="216"/>
    </row>
    <row r="49" spans="1:14" x14ac:dyDescent="0.25">
      <c r="A49" s="213"/>
      <c r="B49" s="30"/>
      <c r="C49" s="232">
        <v>63</v>
      </c>
      <c r="D49" s="232"/>
      <c r="E49" s="29">
        <v>8.3000000000000004E-2</v>
      </c>
      <c r="F49" s="21"/>
      <c r="G49" s="203">
        <v>600</v>
      </c>
      <c r="H49" s="204"/>
      <c r="I49" s="205"/>
      <c r="J49" s="203">
        <v>80</v>
      </c>
      <c r="K49" s="204"/>
      <c r="L49" s="205"/>
      <c r="M49" s="23"/>
      <c r="N49" s="216"/>
    </row>
    <row r="50" spans="1:14" x14ac:dyDescent="0.25">
      <c r="A50" s="213"/>
      <c r="B50" s="30"/>
      <c r="C50" s="232">
        <v>105</v>
      </c>
      <c r="D50" s="232"/>
      <c r="E50" s="29">
        <v>6.5000000000000002E-2</v>
      </c>
      <c r="F50" s="21"/>
      <c r="G50" s="203">
        <v>1150</v>
      </c>
      <c r="H50" s="204"/>
      <c r="I50" s="205"/>
      <c r="J50" s="203">
        <v>75</v>
      </c>
      <c r="K50" s="204"/>
      <c r="L50" s="205"/>
      <c r="M50" s="23"/>
      <c r="N50" s="216"/>
    </row>
    <row r="51" spans="1:14" x14ac:dyDescent="0.25">
      <c r="A51" s="213"/>
      <c r="B51" s="22"/>
      <c r="C51" s="21"/>
      <c r="D51" s="21"/>
      <c r="E51" s="21"/>
      <c r="F51" s="21"/>
      <c r="G51" s="21"/>
      <c r="H51" s="21"/>
      <c r="I51" s="21"/>
      <c r="J51" s="21"/>
      <c r="K51" s="21"/>
      <c r="L51" s="21"/>
      <c r="M51" s="23"/>
      <c r="N51" s="216"/>
    </row>
    <row r="52" spans="1:14" x14ac:dyDescent="0.25">
      <c r="A52" s="213"/>
      <c r="B52" s="22"/>
      <c r="C52" s="31" t="s">
        <v>105</v>
      </c>
      <c r="D52" s="21"/>
      <c r="E52" s="21"/>
      <c r="F52" s="21"/>
      <c r="G52" s="21"/>
      <c r="H52" s="21"/>
      <c r="I52" s="21"/>
      <c r="J52" s="21"/>
      <c r="K52" s="21"/>
      <c r="L52" s="21"/>
      <c r="M52" s="23"/>
      <c r="N52" s="216"/>
    </row>
    <row r="53" spans="1:14" x14ac:dyDescent="0.25">
      <c r="A53" s="213"/>
      <c r="B53" s="22"/>
      <c r="C53" s="21" t="s">
        <v>233</v>
      </c>
      <c r="D53" s="21"/>
      <c r="E53" s="21"/>
      <c r="F53" s="21"/>
      <c r="G53" s="21"/>
      <c r="H53" s="21"/>
      <c r="I53" s="21"/>
      <c r="J53" s="21"/>
      <c r="K53" s="21"/>
      <c r="L53" s="21"/>
      <c r="M53" s="23"/>
      <c r="N53" s="216"/>
    </row>
    <row r="54" spans="1:14" x14ac:dyDescent="0.25">
      <c r="A54" s="213"/>
      <c r="B54" s="22"/>
      <c r="C54" s="32" t="s">
        <v>275</v>
      </c>
      <c r="D54" s="21"/>
      <c r="E54" s="21"/>
      <c r="F54" s="21"/>
      <c r="G54" s="21"/>
      <c r="H54" s="21"/>
      <c r="I54" s="21"/>
      <c r="J54" s="21"/>
      <c r="K54" s="21"/>
      <c r="L54" s="21"/>
      <c r="M54" s="23"/>
      <c r="N54" s="216"/>
    </row>
    <row r="55" spans="1:14" x14ac:dyDescent="0.25">
      <c r="A55" s="213"/>
      <c r="B55" s="22"/>
      <c r="C55" s="21" t="s">
        <v>277</v>
      </c>
      <c r="D55" s="21"/>
      <c r="E55" s="21"/>
      <c r="F55" s="21"/>
      <c r="G55" s="21"/>
      <c r="H55" s="21"/>
      <c r="I55" s="21"/>
      <c r="J55" s="21"/>
      <c r="K55" s="21"/>
      <c r="L55" s="21"/>
      <c r="M55" s="23"/>
      <c r="N55" s="216"/>
    </row>
    <row r="56" spans="1:14" s="21" customFormat="1" x14ac:dyDescent="0.25">
      <c r="A56" s="213"/>
      <c r="B56" s="26"/>
      <c r="C56" s="27" t="s">
        <v>276</v>
      </c>
      <c r="D56" s="27"/>
      <c r="E56" s="27"/>
      <c r="F56" s="27"/>
      <c r="G56" s="27"/>
      <c r="H56" s="27"/>
      <c r="I56" s="27"/>
      <c r="J56" s="27"/>
      <c r="K56" s="27"/>
      <c r="L56" s="27"/>
      <c r="M56" s="28"/>
      <c r="N56" s="216"/>
    </row>
    <row r="57" spans="1:14" x14ac:dyDescent="0.25">
      <c r="A57" s="213"/>
      <c r="B57" s="55" t="s">
        <v>278</v>
      </c>
      <c r="C57" s="56"/>
      <c r="D57" s="56"/>
      <c r="E57" s="56"/>
      <c r="F57" s="56"/>
      <c r="G57" s="56"/>
      <c r="H57" s="56"/>
      <c r="I57" s="56"/>
      <c r="J57" s="56"/>
      <c r="K57" s="56"/>
      <c r="L57" s="56"/>
      <c r="M57" s="57"/>
      <c r="N57" s="216"/>
    </row>
    <row r="58" spans="1:14" ht="15" customHeight="1" x14ac:dyDescent="0.25">
      <c r="A58" s="213"/>
      <c r="B58" s="22"/>
      <c r="C58" s="235" t="s">
        <v>111</v>
      </c>
      <c r="D58" s="235"/>
      <c r="E58" s="235"/>
      <c r="F58" s="36" t="s">
        <v>112</v>
      </c>
      <c r="G58" s="21"/>
      <c r="H58" s="21"/>
      <c r="I58" s="21"/>
      <c r="J58" s="21"/>
      <c r="K58" s="21"/>
      <c r="L58" s="21"/>
      <c r="M58" s="23"/>
      <c r="N58" s="216"/>
    </row>
    <row r="59" spans="1:14" ht="15" customHeight="1" x14ac:dyDescent="0.25">
      <c r="A59" s="213"/>
      <c r="B59" s="22"/>
      <c r="C59" s="235" t="s">
        <v>116</v>
      </c>
      <c r="D59" s="235"/>
      <c r="E59" s="235"/>
      <c r="F59" s="18" t="s">
        <v>113</v>
      </c>
      <c r="G59" s="21"/>
      <c r="H59" s="21"/>
      <c r="I59" s="21"/>
      <c r="J59" s="21"/>
      <c r="K59" s="21"/>
      <c r="L59" s="21"/>
      <c r="M59" s="23"/>
      <c r="N59" s="216"/>
    </row>
    <row r="60" spans="1:14" ht="15" customHeight="1" x14ac:dyDescent="0.25">
      <c r="A60" s="213"/>
      <c r="B60" s="22"/>
      <c r="C60" s="235" t="s">
        <v>117</v>
      </c>
      <c r="D60" s="235"/>
      <c r="E60" s="235"/>
      <c r="F60" s="18" t="s">
        <v>114</v>
      </c>
      <c r="G60" s="21"/>
      <c r="H60" s="21"/>
      <c r="I60" s="21"/>
      <c r="J60" s="21"/>
      <c r="K60" s="21"/>
      <c r="L60" s="21"/>
      <c r="M60" s="23"/>
      <c r="N60" s="216"/>
    </row>
    <row r="61" spans="1:14" ht="15" customHeight="1" x14ac:dyDescent="0.25">
      <c r="A61" s="213"/>
      <c r="B61" s="22"/>
      <c r="C61" s="235" t="s">
        <v>118</v>
      </c>
      <c r="D61" s="235"/>
      <c r="E61" s="235"/>
      <c r="F61" s="18" t="s">
        <v>115</v>
      </c>
      <c r="G61" s="21"/>
      <c r="H61" s="21"/>
      <c r="I61" s="21"/>
      <c r="J61" s="21"/>
      <c r="K61" s="21"/>
      <c r="L61" s="21"/>
      <c r="M61" s="23"/>
      <c r="N61" s="216"/>
    </row>
    <row r="62" spans="1:14" ht="15" customHeight="1" x14ac:dyDescent="0.25">
      <c r="A62" s="213"/>
      <c r="B62" s="26"/>
      <c r="C62" s="235" t="s">
        <v>119</v>
      </c>
      <c r="D62" s="235"/>
      <c r="E62" s="235"/>
      <c r="F62" s="18" t="s">
        <v>120</v>
      </c>
      <c r="G62" s="27"/>
      <c r="H62" s="27"/>
      <c r="I62" s="27"/>
      <c r="J62" s="27"/>
      <c r="K62" s="27"/>
      <c r="L62" s="27"/>
      <c r="M62" s="28"/>
      <c r="N62" s="216"/>
    </row>
    <row r="63" spans="1:14" ht="15" customHeight="1" x14ac:dyDescent="0.25">
      <c r="A63" s="213"/>
      <c r="B63" s="34" t="s">
        <v>134</v>
      </c>
      <c r="C63" s="42"/>
      <c r="D63" s="42"/>
      <c r="E63" s="42"/>
      <c r="F63" s="42"/>
      <c r="G63" s="42"/>
      <c r="H63" s="42"/>
      <c r="I63" s="42"/>
      <c r="J63" s="42"/>
      <c r="K63" s="42"/>
      <c r="L63" s="42"/>
      <c r="M63" s="35"/>
      <c r="N63" s="216"/>
    </row>
    <row r="64" spans="1:14" ht="11.25" customHeight="1" x14ac:dyDescent="0.25">
      <c r="A64" s="214"/>
      <c r="B64" s="219"/>
      <c r="C64" s="219"/>
      <c r="D64" s="219"/>
      <c r="E64" s="219"/>
      <c r="F64" s="219"/>
      <c r="G64" s="219"/>
      <c r="H64" s="219"/>
      <c r="I64" s="219"/>
      <c r="J64" s="219"/>
      <c r="K64" s="219"/>
      <c r="L64" s="219"/>
      <c r="M64" s="219"/>
      <c r="N64" s="217"/>
    </row>
  </sheetData>
  <mergeCells count="67">
    <mergeCell ref="C60:E60"/>
    <mergeCell ref="C61:E61"/>
    <mergeCell ref="C62:E62"/>
    <mergeCell ref="C46:D46"/>
    <mergeCell ref="C47:D47"/>
    <mergeCell ref="C48:D48"/>
    <mergeCell ref="C49:D49"/>
    <mergeCell ref="C50:D50"/>
    <mergeCell ref="C58:E58"/>
    <mergeCell ref="C59:E59"/>
    <mergeCell ref="C44:D44"/>
    <mergeCell ref="C45:D45"/>
    <mergeCell ref="E24:F24"/>
    <mergeCell ref="E25:F25"/>
    <mergeCell ref="E11:F11"/>
    <mergeCell ref="E12:F12"/>
    <mergeCell ref="E14:F14"/>
    <mergeCell ref="E15:F15"/>
    <mergeCell ref="E17:F17"/>
    <mergeCell ref="E28:F28"/>
    <mergeCell ref="E29:F29"/>
    <mergeCell ref="E37:F37"/>
    <mergeCell ref="E38:F38"/>
    <mergeCell ref="E39:F39"/>
    <mergeCell ref="E32:F32"/>
    <mergeCell ref="B4:F4"/>
    <mergeCell ref="E5:F5"/>
    <mergeCell ref="E7:F7"/>
    <mergeCell ref="E6:F6"/>
    <mergeCell ref="E8:F8"/>
    <mergeCell ref="J6:M6"/>
    <mergeCell ref="E30:F30"/>
    <mergeCell ref="E26:F26"/>
    <mergeCell ref="E27:F27"/>
    <mergeCell ref="E10:F10"/>
    <mergeCell ref="L28:M28"/>
    <mergeCell ref="E9:F9"/>
    <mergeCell ref="E18:F18"/>
    <mergeCell ref="E19:F19"/>
    <mergeCell ref="G44:L44"/>
    <mergeCell ref="B2:M2"/>
    <mergeCell ref="H5:H19"/>
    <mergeCell ref="A1:A64"/>
    <mergeCell ref="N1:N64"/>
    <mergeCell ref="B1:M1"/>
    <mergeCell ref="B64:M64"/>
    <mergeCell ref="B40:M40"/>
    <mergeCell ref="B41:M42"/>
    <mergeCell ref="L21:M21"/>
    <mergeCell ref="L23:M23"/>
    <mergeCell ref="E20:F20"/>
    <mergeCell ref="B21:F21"/>
    <mergeCell ref="E23:F23"/>
    <mergeCell ref="H21:J21"/>
    <mergeCell ref="E16:F16"/>
    <mergeCell ref="G48:I48"/>
    <mergeCell ref="J48:L48"/>
    <mergeCell ref="G49:I49"/>
    <mergeCell ref="J49:L49"/>
    <mergeCell ref="G50:I50"/>
    <mergeCell ref="J50:L50"/>
    <mergeCell ref="G45:I45"/>
    <mergeCell ref="J45:L45"/>
    <mergeCell ref="G46:I46"/>
    <mergeCell ref="J46:L46"/>
    <mergeCell ref="G47:I47"/>
    <mergeCell ref="J47:L47"/>
  </mergeCells>
  <conditionalFormatting sqref="C32">
    <cfRule type="cellIs" dxfId="34" priority="3" operator="lessThan">
      <formula>$C$30</formula>
    </cfRule>
  </conditionalFormatting>
  <conditionalFormatting sqref="C38">
    <cfRule type="cellIs" dxfId="33" priority="5" operator="lessThan">
      <formula>$C$6</formula>
    </cfRule>
  </conditionalFormatting>
  <hyperlinks>
    <hyperlink ref="O1" location="Index!A1" display="INDEX"/>
  </hyperlinks>
  <pageMargins left="0.7" right="0.7" top="0.75" bottom="0.75" header="0.3" footer="0.3"/>
  <pageSetup paperSize="8"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64"/>
  <sheetViews>
    <sheetView topLeftCell="A16" workbookViewId="0">
      <selection activeCell="C31" sqref="C31"/>
    </sheetView>
  </sheetViews>
  <sheetFormatPr defaultRowHeight="15" x14ac:dyDescent="0.25"/>
  <cols>
    <col min="1" max="1" width="2.7109375" style="16" customWidth="1"/>
    <col min="2" max="2" width="9.140625" style="16"/>
    <col min="3" max="3" width="8.85546875" style="16" customWidth="1"/>
    <col min="4" max="4" width="9.7109375" style="16" customWidth="1"/>
    <col min="5" max="5" width="12" style="16" customWidth="1"/>
    <col min="6" max="6" width="21.42578125" style="16" customWidth="1"/>
    <col min="7" max="7" width="3.42578125" style="16" customWidth="1"/>
    <col min="8" max="8" width="6.28515625" style="16" customWidth="1"/>
    <col min="9" max="9" width="4.42578125" style="16" customWidth="1"/>
    <col min="10" max="10" width="9.140625" style="16"/>
    <col min="11" max="11" width="2.7109375" style="16" customWidth="1"/>
    <col min="12" max="12" width="13.5703125" style="16" bestFit="1" customWidth="1"/>
    <col min="13" max="13" width="18.7109375" style="16" bestFit="1" customWidth="1"/>
    <col min="14" max="14" width="3.5703125" style="16" customWidth="1"/>
    <col min="15" max="16384" width="9.140625" style="16"/>
  </cols>
  <sheetData>
    <row r="1" spans="1:15" x14ac:dyDescent="0.25">
      <c r="A1" s="97"/>
      <c r="B1" s="98"/>
      <c r="C1" s="98"/>
      <c r="D1" s="98"/>
      <c r="E1" s="98"/>
      <c r="F1" s="98"/>
      <c r="G1" s="98"/>
      <c r="H1" s="98"/>
      <c r="I1" s="98"/>
      <c r="J1" s="98"/>
      <c r="K1" s="98"/>
      <c r="L1" s="98"/>
      <c r="M1" s="98"/>
      <c r="N1" s="99"/>
      <c r="O1" s="167" t="s">
        <v>426</v>
      </c>
    </row>
    <row r="2" spans="1:15" ht="21" x14ac:dyDescent="0.25">
      <c r="A2" s="106"/>
      <c r="B2" s="238" t="s">
        <v>214</v>
      </c>
      <c r="C2" s="239"/>
      <c r="D2" s="239"/>
      <c r="E2" s="239"/>
      <c r="F2" s="239"/>
      <c r="G2" s="239"/>
      <c r="H2" s="239"/>
      <c r="I2" s="239"/>
      <c r="J2" s="239"/>
      <c r="K2" s="239"/>
      <c r="L2" s="239"/>
      <c r="M2" s="240"/>
      <c r="N2" s="100"/>
    </row>
    <row r="3" spans="1:15" x14ac:dyDescent="0.25">
      <c r="A3" s="106"/>
      <c r="B3" s="22"/>
      <c r="C3" s="21"/>
      <c r="D3" s="21"/>
      <c r="E3" s="21"/>
      <c r="F3" s="21"/>
      <c r="G3" s="21"/>
      <c r="H3" s="21"/>
      <c r="I3" s="21"/>
      <c r="J3" s="21"/>
      <c r="K3" s="21"/>
      <c r="L3" s="21"/>
      <c r="M3" s="23"/>
      <c r="N3" s="100"/>
    </row>
    <row r="4" spans="1:15" x14ac:dyDescent="0.25">
      <c r="A4" s="106"/>
      <c r="B4" s="230" t="s">
        <v>59</v>
      </c>
      <c r="C4" s="230"/>
      <c r="D4" s="230"/>
      <c r="E4" s="230"/>
      <c r="F4" s="230"/>
      <c r="G4" s="21"/>
      <c r="H4" s="21"/>
      <c r="I4" s="21"/>
      <c r="J4" s="187" t="s">
        <v>224</v>
      </c>
      <c r="K4" s="220"/>
      <c r="L4" s="220"/>
      <c r="M4" s="188"/>
      <c r="N4" s="100"/>
    </row>
    <row r="5" spans="1:15" ht="18" x14ac:dyDescent="0.25">
      <c r="A5" s="106"/>
      <c r="B5" s="17" t="s">
        <v>11</v>
      </c>
      <c r="C5" s="59">
        <v>25</v>
      </c>
      <c r="D5" s="18" t="s">
        <v>12</v>
      </c>
      <c r="E5" s="183" t="s">
        <v>13</v>
      </c>
      <c r="F5" s="183"/>
      <c r="G5" s="21"/>
      <c r="H5" s="209" t="s">
        <v>243</v>
      </c>
      <c r="I5" s="21"/>
      <c r="J5" s="8"/>
      <c r="K5" s="12"/>
      <c r="L5" s="12"/>
      <c r="M5" s="9"/>
      <c r="N5" s="100"/>
    </row>
    <row r="6" spans="1:15" ht="18" x14ac:dyDescent="0.25">
      <c r="A6" s="106"/>
      <c r="B6" s="17" t="s">
        <v>9</v>
      </c>
      <c r="C6" s="59">
        <v>3000</v>
      </c>
      <c r="D6" s="18" t="s">
        <v>16</v>
      </c>
      <c r="E6" s="183" t="s">
        <v>17</v>
      </c>
      <c r="F6" s="183"/>
      <c r="G6" s="21"/>
      <c r="H6" s="210"/>
      <c r="I6" s="21"/>
      <c r="J6" s="8"/>
      <c r="K6" s="12"/>
      <c r="L6" s="12"/>
      <c r="M6" s="9"/>
      <c r="N6" s="100"/>
    </row>
    <row r="7" spans="1:15" x14ac:dyDescent="0.25">
      <c r="A7" s="106"/>
      <c r="B7" s="17" t="s">
        <v>14</v>
      </c>
      <c r="C7" s="74">
        <v>0.70086056885614889</v>
      </c>
      <c r="D7" s="18"/>
      <c r="E7" s="183" t="s">
        <v>15</v>
      </c>
      <c r="F7" s="183"/>
      <c r="G7" s="21"/>
      <c r="H7" s="210"/>
      <c r="I7" s="21"/>
      <c r="J7" s="8"/>
      <c r="K7" s="12"/>
      <c r="L7" s="12"/>
      <c r="M7" s="9"/>
      <c r="N7" s="100"/>
    </row>
    <row r="8" spans="1:15" ht="18" x14ac:dyDescent="0.25">
      <c r="A8" s="106"/>
      <c r="B8" s="17" t="s">
        <v>244</v>
      </c>
      <c r="C8" s="75">
        <v>39.947015063830634</v>
      </c>
      <c r="D8" s="18" t="s">
        <v>19</v>
      </c>
      <c r="E8" s="183" t="s">
        <v>18</v>
      </c>
      <c r="F8" s="183"/>
      <c r="G8" s="21"/>
      <c r="H8" s="210"/>
      <c r="I8" s="21"/>
      <c r="J8" s="8"/>
      <c r="K8" s="12"/>
      <c r="L8" s="12"/>
      <c r="M8" s="9"/>
      <c r="N8" s="100"/>
    </row>
    <row r="9" spans="1:15" ht="18" x14ac:dyDescent="0.25">
      <c r="A9" s="106"/>
      <c r="B9" s="17" t="s">
        <v>157</v>
      </c>
      <c r="C9" s="19">
        <f>(141.5/(131.5+C8))</f>
        <v>0.8253278713969957</v>
      </c>
      <c r="D9" s="18"/>
      <c r="E9" s="183" t="s">
        <v>143</v>
      </c>
      <c r="F9" s="183"/>
      <c r="G9" s="21"/>
      <c r="H9" s="210"/>
      <c r="I9" s="21"/>
      <c r="J9" s="22"/>
      <c r="K9" s="21"/>
      <c r="L9" s="21"/>
      <c r="M9" s="23"/>
      <c r="N9" s="100"/>
    </row>
    <row r="10" spans="1:15" x14ac:dyDescent="0.25">
      <c r="A10" s="106"/>
      <c r="B10" s="17" t="s">
        <v>3</v>
      </c>
      <c r="C10" s="59">
        <f>800+14.5</f>
        <v>814.5</v>
      </c>
      <c r="D10" s="18" t="s">
        <v>20</v>
      </c>
      <c r="E10" s="183" t="s">
        <v>21</v>
      </c>
      <c r="F10" s="183"/>
      <c r="G10" s="21"/>
      <c r="H10" s="210"/>
      <c r="I10" s="21"/>
      <c r="J10" s="8"/>
      <c r="K10" s="12"/>
      <c r="L10" s="12"/>
      <c r="M10" s="9"/>
      <c r="N10" s="100"/>
    </row>
    <row r="11" spans="1:15" ht="17.25" x14ac:dyDescent="0.25">
      <c r="A11" s="106"/>
      <c r="B11" s="17" t="s">
        <v>245</v>
      </c>
      <c r="C11" s="59">
        <v>80</v>
      </c>
      <c r="D11" s="18" t="s">
        <v>23</v>
      </c>
      <c r="E11" s="183" t="s">
        <v>22</v>
      </c>
      <c r="F11" s="183"/>
      <c r="G11" s="21"/>
      <c r="H11" s="210"/>
      <c r="I11" s="21"/>
      <c r="J11" s="8"/>
      <c r="K11" s="12"/>
      <c r="L11" s="12"/>
      <c r="M11" s="9"/>
      <c r="N11" s="100"/>
    </row>
    <row r="12" spans="1:15" ht="17.25" x14ac:dyDescent="0.25">
      <c r="A12" s="106"/>
      <c r="B12" s="17" t="s">
        <v>4</v>
      </c>
      <c r="C12" s="20">
        <f>C11+459.67</f>
        <v>539.67000000000007</v>
      </c>
      <c r="D12" s="18" t="s">
        <v>24</v>
      </c>
      <c r="E12" s="183" t="s">
        <v>22</v>
      </c>
      <c r="F12" s="183"/>
      <c r="G12" s="21"/>
      <c r="H12" s="210"/>
      <c r="I12" s="21"/>
      <c r="J12" s="8"/>
      <c r="K12" s="12"/>
      <c r="L12" s="12"/>
      <c r="M12" s="9"/>
      <c r="N12" s="100"/>
    </row>
    <row r="13" spans="1:15" x14ac:dyDescent="0.25">
      <c r="A13" s="106"/>
      <c r="B13" s="17" t="s">
        <v>225</v>
      </c>
      <c r="C13" s="76">
        <v>20.3</v>
      </c>
      <c r="D13" s="18" t="s">
        <v>226</v>
      </c>
      <c r="E13" s="43" t="s">
        <v>227</v>
      </c>
      <c r="F13" s="68"/>
      <c r="G13" s="21"/>
      <c r="H13" s="210"/>
      <c r="I13" s="21"/>
      <c r="J13" s="8"/>
      <c r="K13" s="12"/>
      <c r="L13" s="12"/>
      <c r="M13" s="9"/>
      <c r="N13" s="100"/>
    </row>
    <row r="14" spans="1:15" x14ac:dyDescent="0.25">
      <c r="A14" s="106"/>
      <c r="B14" s="17" t="s">
        <v>10</v>
      </c>
      <c r="C14" s="59">
        <v>1</v>
      </c>
      <c r="D14" s="18" t="s">
        <v>25</v>
      </c>
      <c r="E14" s="183" t="s">
        <v>103</v>
      </c>
      <c r="F14" s="183"/>
      <c r="G14" s="21"/>
      <c r="H14" s="210"/>
      <c r="I14" s="21"/>
      <c r="J14" s="8"/>
      <c r="K14" s="12"/>
      <c r="L14" s="12"/>
      <c r="M14" s="9"/>
      <c r="N14" s="100"/>
    </row>
    <row r="15" spans="1:15" x14ac:dyDescent="0.25">
      <c r="A15" s="106"/>
      <c r="B15" s="17" t="s">
        <v>5</v>
      </c>
      <c r="C15" s="59">
        <v>0.84</v>
      </c>
      <c r="D15" s="18"/>
      <c r="E15" s="183" t="s">
        <v>28</v>
      </c>
      <c r="F15" s="183"/>
      <c r="G15" s="21"/>
      <c r="H15" s="210"/>
      <c r="I15" s="21"/>
      <c r="J15" s="8"/>
      <c r="K15" s="12"/>
      <c r="L15" s="12"/>
      <c r="M15" s="9"/>
      <c r="N15" s="100"/>
    </row>
    <row r="16" spans="1:15" ht="18" x14ac:dyDescent="0.25">
      <c r="A16" s="106"/>
      <c r="B16" s="17" t="s">
        <v>8</v>
      </c>
      <c r="C16" s="59">
        <v>1.2E-2</v>
      </c>
      <c r="D16" s="18" t="s">
        <v>29</v>
      </c>
      <c r="E16" s="183" t="s">
        <v>30</v>
      </c>
      <c r="F16" s="183"/>
      <c r="G16" s="21"/>
      <c r="H16" s="210"/>
      <c r="I16" s="21"/>
      <c r="J16" s="8"/>
      <c r="K16" s="12"/>
      <c r="L16" s="12"/>
      <c r="M16" s="9"/>
      <c r="N16" s="100"/>
    </row>
    <row r="17" spans="1:14" x14ac:dyDescent="0.25">
      <c r="A17" s="106"/>
      <c r="B17" s="17" t="s">
        <v>72</v>
      </c>
      <c r="C17" s="59">
        <f>0.4*1.25</f>
        <v>0.5</v>
      </c>
      <c r="D17" s="18" t="s">
        <v>39</v>
      </c>
      <c r="E17" s="183" t="s">
        <v>99</v>
      </c>
      <c r="F17" s="183"/>
      <c r="G17" s="21"/>
      <c r="H17" s="210"/>
      <c r="I17" s="21"/>
      <c r="J17" s="8"/>
      <c r="K17" s="12"/>
      <c r="L17" s="12"/>
      <c r="M17" s="9"/>
      <c r="N17" s="100"/>
    </row>
    <row r="18" spans="1:14" ht="18" x14ac:dyDescent="0.25">
      <c r="A18" s="106"/>
      <c r="B18" s="17" t="s">
        <v>129</v>
      </c>
      <c r="C18" s="77">
        <v>0.3</v>
      </c>
      <c r="D18" s="18"/>
      <c r="E18" s="183" t="s">
        <v>101</v>
      </c>
      <c r="F18" s="183"/>
      <c r="G18" s="21"/>
      <c r="H18" s="210"/>
      <c r="I18" s="21"/>
      <c r="J18" s="22"/>
      <c r="K18" s="21"/>
      <c r="L18" s="21"/>
      <c r="M18" s="23"/>
      <c r="N18" s="100"/>
    </row>
    <row r="19" spans="1:14" x14ac:dyDescent="0.25">
      <c r="A19" s="106"/>
      <c r="B19" s="17" t="s">
        <v>125</v>
      </c>
      <c r="C19" s="134">
        <v>10</v>
      </c>
      <c r="D19" s="135" t="s">
        <v>57</v>
      </c>
      <c r="E19" s="235" t="s">
        <v>126</v>
      </c>
      <c r="F19" s="235"/>
      <c r="G19" s="21"/>
      <c r="H19" s="211"/>
      <c r="I19" s="21"/>
      <c r="J19" s="26"/>
      <c r="K19" s="27"/>
      <c r="L19" s="27"/>
      <c r="M19" s="28"/>
      <c r="N19" s="100"/>
    </row>
    <row r="20" spans="1:14" x14ac:dyDescent="0.25">
      <c r="A20" s="106"/>
      <c r="B20" s="85"/>
      <c r="C20" s="21"/>
      <c r="D20" s="21"/>
      <c r="E20" s="229"/>
      <c r="F20" s="229"/>
      <c r="G20" s="21"/>
      <c r="H20" s="21"/>
      <c r="I20" s="21"/>
      <c r="J20" s="21"/>
      <c r="K20" s="21"/>
      <c r="L20" s="21"/>
      <c r="M20" s="23"/>
      <c r="N20" s="100"/>
    </row>
    <row r="21" spans="1:14" x14ac:dyDescent="0.25">
      <c r="A21" s="106"/>
      <c r="B21" s="195" t="s">
        <v>60</v>
      </c>
      <c r="C21" s="195"/>
      <c r="D21" s="195"/>
      <c r="E21" s="195"/>
      <c r="F21" s="195"/>
      <c r="G21" s="21"/>
      <c r="H21" s="72" t="s">
        <v>61</v>
      </c>
      <c r="I21" s="71"/>
      <c r="J21" s="70"/>
      <c r="K21" s="21"/>
      <c r="L21" s="187" t="s">
        <v>85</v>
      </c>
      <c r="M21" s="188"/>
      <c r="N21" s="100"/>
    </row>
    <row r="22" spans="1:14" x14ac:dyDescent="0.25">
      <c r="A22" s="106"/>
      <c r="B22" s="86" t="s">
        <v>26</v>
      </c>
      <c r="C22" s="21" t="s">
        <v>27</v>
      </c>
      <c r="D22" s="21"/>
      <c r="E22" s="87"/>
      <c r="F22" s="87"/>
      <c r="G22" s="21"/>
      <c r="H22" s="22"/>
      <c r="I22" s="21"/>
      <c r="J22" s="23"/>
      <c r="K22" s="21"/>
      <c r="L22" s="22"/>
      <c r="M22" s="23"/>
      <c r="N22" s="100"/>
    </row>
    <row r="23" spans="1:14" ht="18" x14ac:dyDescent="0.25">
      <c r="A23" s="106"/>
      <c r="B23" s="17" t="s">
        <v>0</v>
      </c>
      <c r="C23" s="24">
        <f>2.7*C7*C10/C12/C15</f>
        <v>3.4</v>
      </c>
      <c r="D23" s="18" t="s">
        <v>31</v>
      </c>
      <c r="E23" s="183" t="s">
        <v>69</v>
      </c>
      <c r="F23" s="183"/>
      <c r="G23" s="21"/>
      <c r="H23" s="22"/>
      <c r="I23" s="21"/>
      <c r="J23" s="23"/>
      <c r="K23" s="21"/>
      <c r="L23" s="227" t="s">
        <v>97</v>
      </c>
      <c r="M23" s="228"/>
      <c r="N23" s="100"/>
    </row>
    <row r="24" spans="1:14" ht="30" x14ac:dyDescent="0.25">
      <c r="A24" s="106"/>
      <c r="B24" s="17" t="s">
        <v>32</v>
      </c>
      <c r="C24" s="24">
        <f>62.4*C9</f>
        <v>51.50045917517253</v>
      </c>
      <c r="D24" s="18" t="s">
        <v>31</v>
      </c>
      <c r="E24" s="183" t="s">
        <v>70</v>
      </c>
      <c r="F24" s="183"/>
      <c r="G24" s="21"/>
      <c r="H24" s="22"/>
      <c r="I24" s="21"/>
      <c r="J24" s="23"/>
      <c r="K24" s="21"/>
      <c r="L24" s="69" t="s">
        <v>405</v>
      </c>
      <c r="M24" s="33" t="s">
        <v>133</v>
      </c>
      <c r="N24" s="100"/>
    </row>
    <row r="25" spans="1:14" x14ac:dyDescent="0.25">
      <c r="A25" s="106"/>
      <c r="B25" s="22"/>
      <c r="C25" s="21"/>
      <c r="D25" s="21"/>
      <c r="E25" s="229"/>
      <c r="F25" s="229"/>
      <c r="G25" s="21"/>
      <c r="H25" s="22"/>
      <c r="I25" s="21"/>
      <c r="J25" s="23"/>
      <c r="K25" s="21"/>
      <c r="L25" s="67">
        <v>10</v>
      </c>
      <c r="M25" s="67" t="s">
        <v>122</v>
      </c>
      <c r="N25" s="100"/>
    </row>
    <row r="26" spans="1:14" ht="17.25" x14ac:dyDescent="0.25">
      <c r="A26" s="106"/>
      <c r="B26" s="86" t="s">
        <v>33</v>
      </c>
      <c r="C26" s="21"/>
      <c r="D26" s="21"/>
      <c r="E26" s="229"/>
      <c r="F26" s="229"/>
      <c r="G26" s="21"/>
      <c r="H26" s="22"/>
      <c r="I26" s="21"/>
      <c r="J26" s="23"/>
      <c r="K26" s="21"/>
      <c r="L26" s="67" t="s">
        <v>123</v>
      </c>
      <c r="M26" s="67" t="s">
        <v>124</v>
      </c>
      <c r="N26" s="100"/>
    </row>
    <row r="27" spans="1:14" ht="18" x14ac:dyDescent="0.25">
      <c r="A27" s="106"/>
      <c r="B27" s="18" t="s">
        <v>71</v>
      </c>
      <c r="C27" s="25">
        <f>C17*SQRT((C24-C23)/C23)</f>
        <v>1.880637782445808</v>
      </c>
      <c r="D27" s="18" t="s">
        <v>39</v>
      </c>
      <c r="E27" s="183"/>
      <c r="F27" s="183"/>
      <c r="G27" s="21"/>
      <c r="H27" s="22"/>
      <c r="I27" s="21"/>
      <c r="J27" s="23"/>
      <c r="K27" s="21"/>
      <c r="L27" s="14"/>
      <c r="M27" s="15"/>
      <c r="N27" s="100"/>
    </row>
    <row r="28" spans="1:14" ht="18" x14ac:dyDescent="0.25">
      <c r="A28" s="106"/>
      <c r="B28" s="18" t="s">
        <v>73</v>
      </c>
      <c r="C28" s="19">
        <f>C5*1000000*C13/379.5/86400/C23</f>
        <v>4.5523076746435649</v>
      </c>
      <c r="D28" s="18" t="s">
        <v>77</v>
      </c>
      <c r="E28" s="183" t="s">
        <v>74</v>
      </c>
      <c r="F28" s="183"/>
      <c r="G28" s="21"/>
      <c r="H28" s="22"/>
      <c r="I28" s="21"/>
      <c r="J28" s="23"/>
      <c r="K28" s="21"/>
      <c r="L28" s="236" t="s">
        <v>98</v>
      </c>
      <c r="M28" s="237"/>
      <c r="N28" s="100"/>
    </row>
    <row r="29" spans="1:14" ht="39" customHeight="1" x14ac:dyDescent="0.25">
      <c r="A29" s="106"/>
      <c r="B29" s="18" t="s">
        <v>75</v>
      </c>
      <c r="C29" s="19">
        <f>C28/C27</f>
        <v>2.4206190671779417</v>
      </c>
      <c r="D29" s="18" t="s">
        <v>76</v>
      </c>
      <c r="E29" s="183" t="s">
        <v>78</v>
      </c>
      <c r="F29" s="183"/>
      <c r="G29" s="21"/>
      <c r="H29" s="22"/>
      <c r="I29" s="21"/>
      <c r="J29" s="23"/>
      <c r="K29" s="21"/>
      <c r="L29" s="147" t="s">
        <v>91</v>
      </c>
      <c r="M29" s="33" t="s">
        <v>109</v>
      </c>
      <c r="N29" s="100"/>
    </row>
    <row r="30" spans="1:14" ht="18" x14ac:dyDescent="0.25">
      <c r="A30" s="106"/>
      <c r="B30" s="52" t="s">
        <v>228</v>
      </c>
      <c r="C30" s="53">
        <v>4.2321466086195008</v>
      </c>
      <c r="D30" s="52" t="s">
        <v>48</v>
      </c>
      <c r="E30" s="190" t="s">
        <v>36</v>
      </c>
      <c r="F30" s="190"/>
      <c r="G30" s="21"/>
      <c r="H30" s="22"/>
      <c r="I30" s="21"/>
      <c r="J30" s="23"/>
      <c r="K30" s="21"/>
      <c r="L30" s="148" t="s">
        <v>92</v>
      </c>
      <c r="M30" s="148">
        <v>1</v>
      </c>
      <c r="N30" s="100"/>
    </row>
    <row r="31" spans="1:14" ht="18" x14ac:dyDescent="0.25">
      <c r="A31" s="106"/>
      <c r="B31" s="52" t="s">
        <v>229</v>
      </c>
      <c r="C31" s="54">
        <f>(C30/2)*ACOS((C30/2-C30*C18)/(C30/2))-((C30/2-C30*C18)*SQRT(2*C30/2*C30*C18-(C30*C18)^2))/12/12</f>
        <v>2.4417205265737372</v>
      </c>
      <c r="D31" s="52" t="s">
        <v>230</v>
      </c>
      <c r="E31" s="190"/>
      <c r="F31" s="190"/>
      <c r="G31" s="21"/>
      <c r="H31" s="22"/>
      <c r="I31" s="21"/>
      <c r="J31" s="23"/>
      <c r="K31" s="21"/>
      <c r="L31" s="148" t="s">
        <v>93</v>
      </c>
      <c r="M31" s="148" t="s">
        <v>95</v>
      </c>
      <c r="N31" s="100"/>
    </row>
    <row r="32" spans="1:14" ht="30.75" customHeight="1" x14ac:dyDescent="0.25">
      <c r="A32" s="106"/>
      <c r="B32" s="52" t="s">
        <v>42</v>
      </c>
      <c r="C32" s="54">
        <f>(C29-C31)^2</f>
        <v>4.4527158863240368E-4</v>
      </c>
      <c r="D32" s="2"/>
      <c r="E32" s="183" t="s">
        <v>441</v>
      </c>
      <c r="F32" s="183"/>
      <c r="G32" s="21"/>
      <c r="H32" s="22"/>
      <c r="I32" s="21"/>
      <c r="J32" s="23"/>
      <c r="K32" s="21"/>
      <c r="L32" s="148" t="s">
        <v>94</v>
      </c>
      <c r="M32" s="148" t="s">
        <v>96</v>
      </c>
      <c r="N32" s="100"/>
    </row>
    <row r="33" spans="1:14" ht="18" x14ac:dyDescent="0.25">
      <c r="A33" s="106"/>
      <c r="B33" s="132" t="s">
        <v>319</v>
      </c>
      <c r="C33" s="133">
        <v>30</v>
      </c>
      <c r="D33" s="132" t="s">
        <v>48</v>
      </c>
      <c r="E33" s="233" t="s">
        <v>236</v>
      </c>
      <c r="F33" s="234"/>
      <c r="G33" s="21"/>
      <c r="H33" s="22"/>
      <c r="I33" s="21"/>
      <c r="J33" s="23"/>
      <c r="K33" s="21"/>
      <c r="M33" s="23"/>
      <c r="N33" s="100"/>
    </row>
    <row r="34" spans="1:14" x14ac:dyDescent="0.25">
      <c r="A34" s="106"/>
      <c r="B34" s="132" t="s">
        <v>125</v>
      </c>
      <c r="C34" s="136">
        <f>C19</f>
        <v>10</v>
      </c>
      <c r="D34" s="132" t="s">
        <v>57</v>
      </c>
      <c r="E34" s="233" t="s">
        <v>320</v>
      </c>
      <c r="F34" s="234"/>
      <c r="G34" s="21"/>
      <c r="H34" s="22"/>
      <c r="I34" s="21"/>
      <c r="J34" s="23"/>
      <c r="K34" s="21"/>
      <c r="M34" s="23"/>
      <c r="N34" s="100"/>
    </row>
    <row r="35" spans="1:14" x14ac:dyDescent="0.25">
      <c r="A35" s="106"/>
      <c r="B35" s="132" t="s">
        <v>385</v>
      </c>
      <c r="C35" s="151">
        <f>C34*12/C33</f>
        <v>4</v>
      </c>
      <c r="D35" s="78" t="s">
        <v>280</v>
      </c>
      <c r="E35" s="233" t="s">
        <v>281</v>
      </c>
      <c r="F35" s="234"/>
      <c r="G35" s="21"/>
      <c r="H35" s="22"/>
      <c r="I35" s="21"/>
      <c r="J35" s="23"/>
      <c r="K35" s="21"/>
      <c r="M35" s="23"/>
      <c r="N35" s="100"/>
    </row>
    <row r="36" spans="1:14" x14ac:dyDescent="0.25">
      <c r="A36" s="106"/>
      <c r="B36" s="22"/>
      <c r="C36" s="21"/>
      <c r="D36" s="21"/>
      <c r="E36" s="229"/>
      <c r="F36" s="229"/>
      <c r="G36" s="21"/>
      <c r="H36" s="22"/>
      <c r="I36" s="21"/>
      <c r="J36" s="23"/>
      <c r="K36" s="21"/>
      <c r="M36" s="23"/>
      <c r="N36" s="100"/>
    </row>
    <row r="37" spans="1:14" x14ac:dyDescent="0.25">
      <c r="A37" s="106"/>
      <c r="B37" s="86" t="s">
        <v>44</v>
      </c>
      <c r="C37" s="21"/>
      <c r="D37" s="21"/>
      <c r="E37" s="87"/>
      <c r="F37" s="87"/>
      <c r="G37" s="21"/>
      <c r="H37" s="26"/>
      <c r="I37" s="27"/>
      <c r="J37" s="28"/>
      <c r="K37" s="21"/>
      <c r="L37" s="21"/>
      <c r="M37" s="23"/>
      <c r="N37" s="100"/>
    </row>
    <row r="38" spans="1:14" ht="30.75" customHeight="1" x14ac:dyDescent="0.25">
      <c r="A38" s="106"/>
      <c r="B38" s="18" t="s">
        <v>81</v>
      </c>
      <c r="C38" s="20">
        <f>((C33/12/2)^2*ACOS((C33/12/2-C33/12*C18)/(C33/12/2))-((C33/12/2)-(C33/12*C18)*SQRT((2*C33/12/2*C33/12*C18-(C33/12*C18)^2))))*(C19)*0.17811</f>
        <v>2.5302433618092013</v>
      </c>
      <c r="D38" s="18" t="s">
        <v>82</v>
      </c>
      <c r="E38" s="183" t="s">
        <v>83</v>
      </c>
      <c r="F38" s="183"/>
      <c r="G38" s="21"/>
      <c r="H38" s="21"/>
      <c r="I38" s="21"/>
      <c r="J38" s="21"/>
      <c r="K38" s="21"/>
      <c r="L38" s="101"/>
      <c r="M38" s="23"/>
      <c r="N38" s="100"/>
    </row>
    <row r="39" spans="1:14" ht="32.25" customHeight="1" x14ac:dyDescent="0.25">
      <c r="A39" s="106"/>
      <c r="B39" s="18" t="s">
        <v>80</v>
      </c>
      <c r="C39" s="20">
        <f>1440*C38/C14</f>
        <v>3643.5504410052499</v>
      </c>
      <c r="D39" s="18" t="s">
        <v>84</v>
      </c>
      <c r="E39" s="183" t="str">
        <f>"Liquid capacity of separator should be more than "&amp;C6 &amp; " bpd (input value)"</f>
        <v>Liquid capacity of separator should be more than 3000 bpd (input value)</v>
      </c>
      <c r="F39" s="183"/>
      <c r="G39" s="21"/>
      <c r="H39" s="21"/>
      <c r="I39" s="21"/>
      <c r="J39" s="21"/>
      <c r="K39" s="21"/>
      <c r="L39" s="21"/>
      <c r="M39" s="23"/>
      <c r="N39" s="100"/>
    </row>
    <row r="40" spans="1:14" x14ac:dyDescent="0.25">
      <c r="A40" s="106"/>
      <c r="B40" s="22"/>
      <c r="C40" s="21"/>
      <c r="D40" s="21"/>
      <c r="E40" s="229"/>
      <c r="F40" s="229"/>
      <c r="G40" s="21"/>
      <c r="H40" s="21"/>
      <c r="I40" s="21"/>
      <c r="J40" s="21"/>
      <c r="K40" s="21"/>
      <c r="L40" s="21"/>
      <c r="M40" s="23"/>
      <c r="N40" s="100"/>
    </row>
    <row r="41" spans="1:14" x14ac:dyDescent="0.25">
      <c r="A41" s="106"/>
      <c r="B41" s="187" t="s">
        <v>132</v>
      </c>
      <c r="C41" s="220"/>
      <c r="D41" s="220"/>
      <c r="E41" s="220"/>
      <c r="F41" s="220"/>
      <c r="G41" s="220"/>
      <c r="H41" s="220"/>
      <c r="I41" s="220"/>
      <c r="J41" s="220"/>
      <c r="K41" s="220"/>
      <c r="L41" s="220"/>
      <c r="M41" s="188"/>
      <c r="N41" s="100"/>
    </row>
    <row r="42" spans="1:14" ht="15" customHeight="1" x14ac:dyDescent="0.25">
      <c r="A42" s="106"/>
      <c r="B42" s="221" t="s">
        <v>90</v>
      </c>
      <c r="C42" s="222"/>
      <c r="D42" s="222"/>
      <c r="E42" s="222"/>
      <c r="F42" s="222"/>
      <c r="G42" s="222"/>
      <c r="H42" s="222"/>
      <c r="I42" s="222"/>
      <c r="J42" s="222"/>
      <c r="K42" s="222"/>
      <c r="L42" s="222"/>
      <c r="M42" s="223"/>
      <c r="N42" s="102"/>
    </row>
    <row r="43" spans="1:14" x14ac:dyDescent="0.25">
      <c r="A43" s="106"/>
      <c r="B43" s="224"/>
      <c r="C43" s="225"/>
      <c r="D43" s="225"/>
      <c r="E43" s="225"/>
      <c r="F43" s="225"/>
      <c r="G43" s="225"/>
      <c r="H43" s="225"/>
      <c r="I43" s="225"/>
      <c r="J43" s="225"/>
      <c r="K43" s="225"/>
      <c r="L43" s="225"/>
      <c r="M43" s="226"/>
      <c r="N43" s="102"/>
    </row>
    <row r="44" spans="1:14" x14ac:dyDescent="0.25">
      <c r="A44" s="106"/>
      <c r="B44" s="55" t="s">
        <v>104</v>
      </c>
      <c r="C44" s="56"/>
      <c r="D44" s="56"/>
      <c r="E44" s="56"/>
      <c r="F44" s="56"/>
      <c r="G44" s="56"/>
      <c r="H44" s="56"/>
      <c r="I44" s="56"/>
      <c r="J44" s="56"/>
      <c r="K44" s="56"/>
      <c r="L44" s="56"/>
      <c r="M44" s="57"/>
      <c r="N44" s="100"/>
    </row>
    <row r="45" spans="1:14" x14ac:dyDescent="0.25">
      <c r="A45" s="106"/>
      <c r="B45" s="22"/>
      <c r="C45" s="231" t="s">
        <v>106</v>
      </c>
      <c r="D45" s="231"/>
      <c r="E45" s="69" t="s">
        <v>107</v>
      </c>
      <c r="F45" s="21"/>
      <c r="G45" s="200" t="s">
        <v>413</v>
      </c>
      <c r="H45" s="201"/>
      <c r="I45" s="201"/>
      <c r="J45" s="201"/>
      <c r="K45" s="201"/>
      <c r="L45" s="202"/>
      <c r="M45" s="23"/>
      <c r="N45" s="100"/>
    </row>
    <row r="46" spans="1:14" x14ac:dyDescent="0.25">
      <c r="A46" s="106"/>
      <c r="B46" s="30"/>
      <c r="C46" s="232">
        <v>0</v>
      </c>
      <c r="D46" s="232"/>
      <c r="E46" s="29">
        <v>0.107</v>
      </c>
      <c r="F46" s="21"/>
      <c r="G46" s="200" t="s">
        <v>411</v>
      </c>
      <c r="H46" s="201"/>
      <c r="I46" s="202"/>
      <c r="J46" s="200" t="s">
        <v>412</v>
      </c>
      <c r="K46" s="201"/>
      <c r="L46" s="202"/>
      <c r="M46" s="23"/>
      <c r="N46" s="100"/>
    </row>
    <row r="47" spans="1:14" x14ac:dyDescent="0.25">
      <c r="A47" s="106"/>
      <c r="B47" s="30"/>
      <c r="C47" s="232">
        <v>7</v>
      </c>
      <c r="D47" s="232"/>
      <c r="E47" s="29">
        <v>0.107</v>
      </c>
      <c r="F47" s="21"/>
      <c r="G47" s="203" t="s">
        <v>414</v>
      </c>
      <c r="H47" s="204"/>
      <c r="I47" s="205"/>
      <c r="J47" s="203">
        <v>100</v>
      </c>
      <c r="K47" s="204"/>
      <c r="L47" s="205"/>
      <c r="M47" s="23"/>
      <c r="N47" s="100"/>
    </row>
    <row r="48" spans="1:14" x14ac:dyDescent="0.25">
      <c r="A48" s="106"/>
      <c r="B48" s="30"/>
      <c r="C48" s="232">
        <v>21</v>
      </c>
      <c r="D48" s="232"/>
      <c r="E48" s="29">
        <v>0.10100000000000001</v>
      </c>
      <c r="F48" s="21"/>
      <c r="G48" s="203">
        <v>150</v>
      </c>
      <c r="H48" s="204"/>
      <c r="I48" s="205"/>
      <c r="J48" s="203">
        <v>90</v>
      </c>
      <c r="K48" s="204"/>
      <c r="L48" s="205"/>
      <c r="M48" s="23"/>
      <c r="N48" s="100"/>
    </row>
    <row r="49" spans="1:14" x14ac:dyDescent="0.25">
      <c r="A49" s="106"/>
      <c r="B49" s="30"/>
      <c r="C49" s="232">
        <v>42</v>
      </c>
      <c r="D49" s="232"/>
      <c r="E49" s="29">
        <v>9.1999999999999998E-2</v>
      </c>
      <c r="F49" s="21"/>
      <c r="G49" s="203">
        <v>300</v>
      </c>
      <c r="H49" s="204"/>
      <c r="I49" s="205"/>
      <c r="J49" s="203">
        <v>85</v>
      </c>
      <c r="K49" s="204"/>
      <c r="L49" s="205"/>
      <c r="M49" s="23"/>
      <c r="N49" s="100"/>
    </row>
    <row r="50" spans="1:14" x14ac:dyDescent="0.25">
      <c r="A50" s="106"/>
      <c r="B50" s="30"/>
      <c r="C50" s="232">
        <v>63</v>
      </c>
      <c r="D50" s="232"/>
      <c r="E50" s="29">
        <v>8.3000000000000004E-2</v>
      </c>
      <c r="F50" s="21"/>
      <c r="G50" s="203">
        <v>600</v>
      </c>
      <c r="H50" s="204"/>
      <c r="I50" s="205"/>
      <c r="J50" s="203">
        <v>80</v>
      </c>
      <c r="K50" s="204"/>
      <c r="L50" s="205"/>
      <c r="M50" s="23"/>
      <c r="N50" s="100"/>
    </row>
    <row r="51" spans="1:14" x14ac:dyDescent="0.25">
      <c r="A51" s="106"/>
      <c r="B51" s="30"/>
      <c r="C51" s="232">
        <v>105</v>
      </c>
      <c r="D51" s="232"/>
      <c r="E51" s="29">
        <v>6.5000000000000002E-2</v>
      </c>
      <c r="F51" s="21"/>
      <c r="G51" s="203">
        <v>1150</v>
      </c>
      <c r="H51" s="204"/>
      <c r="I51" s="205"/>
      <c r="J51" s="203">
        <v>75</v>
      </c>
      <c r="K51" s="204"/>
      <c r="L51" s="205"/>
      <c r="M51" s="23"/>
      <c r="N51" s="100"/>
    </row>
    <row r="52" spans="1:14" x14ac:dyDescent="0.25">
      <c r="A52" s="106"/>
      <c r="B52" s="22"/>
      <c r="C52" s="21"/>
      <c r="D52" s="21"/>
      <c r="E52" s="21"/>
      <c r="F52" s="21"/>
      <c r="G52" s="21"/>
      <c r="H52" s="21"/>
      <c r="I52" s="21"/>
      <c r="J52" s="21"/>
      <c r="K52" s="21"/>
      <c r="L52" s="21"/>
      <c r="M52" s="23"/>
      <c r="N52" s="100"/>
    </row>
    <row r="53" spans="1:14" x14ac:dyDescent="0.25">
      <c r="A53" s="106"/>
      <c r="B53" s="22"/>
      <c r="C53" s="31" t="s">
        <v>105</v>
      </c>
      <c r="D53" s="21"/>
      <c r="E53" s="21"/>
      <c r="F53" s="21"/>
      <c r="G53" s="21"/>
      <c r="H53" s="21"/>
      <c r="I53" s="21"/>
      <c r="J53" s="21"/>
      <c r="K53" s="21"/>
      <c r="L53" s="21"/>
      <c r="M53" s="23"/>
      <c r="N53" s="100"/>
    </row>
    <row r="54" spans="1:14" x14ac:dyDescent="0.25">
      <c r="A54" s="106"/>
      <c r="B54" s="22"/>
      <c r="C54" s="21" t="s">
        <v>233</v>
      </c>
      <c r="D54" s="21"/>
      <c r="E54" s="21"/>
      <c r="F54" s="21"/>
      <c r="G54" s="21"/>
      <c r="H54" s="21"/>
      <c r="I54" s="21"/>
      <c r="J54" s="21"/>
      <c r="K54" s="21"/>
      <c r="L54" s="21"/>
      <c r="M54" s="23"/>
      <c r="N54" s="100"/>
    </row>
    <row r="55" spans="1:14" x14ac:dyDescent="0.25">
      <c r="A55" s="106"/>
      <c r="B55" s="22"/>
      <c r="C55" s="32" t="s">
        <v>275</v>
      </c>
      <c r="D55" s="21"/>
      <c r="E55" s="21"/>
      <c r="F55" s="21"/>
      <c r="G55" s="21"/>
      <c r="H55" s="21"/>
      <c r="I55" s="21"/>
      <c r="J55" s="21"/>
      <c r="K55" s="21"/>
      <c r="L55" s="21"/>
      <c r="M55" s="23"/>
      <c r="N55" s="100"/>
    </row>
    <row r="56" spans="1:14" s="21" customFormat="1" x14ac:dyDescent="0.25">
      <c r="A56" s="106"/>
      <c r="B56" s="26"/>
      <c r="C56" s="27" t="s">
        <v>404</v>
      </c>
      <c r="D56" s="27"/>
      <c r="E56" s="27"/>
      <c r="F56" s="27"/>
      <c r="G56" s="27"/>
      <c r="H56" s="27"/>
      <c r="I56" s="27"/>
      <c r="J56" s="27"/>
      <c r="K56" s="27"/>
      <c r="L56" s="27"/>
      <c r="M56" s="28"/>
      <c r="N56" s="100"/>
    </row>
    <row r="57" spans="1:14" x14ac:dyDescent="0.25">
      <c r="A57" s="106"/>
      <c r="B57" s="55" t="s">
        <v>110</v>
      </c>
      <c r="C57" s="56"/>
      <c r="D57" s="56"/>
      <c r="E57" s="56"/>
      <c r="F57" s="56"/>
      <c r="G57" s="56"/>
      <c r="H57" s="56"/>
      <c r="I57" s="56"/>
      <c r="J57" s="56"/>
      <c r="K57" s="56"/>
      <c r="L57" s="56"/>
      <c r="M57" s="57"/>
      <c r="N57" s="100"/>
    </row>
    <row r="58" spans="1:14" ht="15" customHeight="1" x14ac:dyDescent="0.25">
      <c r="A58" s="106"/>
      <c r="B58" s="22"/>
      <c r="C58" s="235" t="s">
        <v>111</v>
      </c>
      <c r="D58" s="235"/>
      <c r="E58" s="235"/>
      <c r="F58" s="36" t="s">
        <v>112</v>
      </c>
      <c r="G58" s="21"/>
      <c r="H58" s="21"/>
      <c r="I58" s="21"/>
      <c r="J58" s="21"/>
      <c r="K58" s="21"/>
      <c r="L58" s="21"/>
      <c r="M58" s="23"/>
      <c r="N58" s="100"/>
    </row>
    <row r="59" spans="1:14" ht="15" customHeight="1" x14ac:dyDescent="0.25">
      <c r="A59" s="106"/>
      <c r="B59" s="22"/>
      <c r="C59" s="235" t="s">
        <v>116</v>
      </c>
      <c r="D59" s="235"/>
      <c r="E59" s="235"/>
      <c r="F59" s="18" t="s">
        <v>113</v>
      </c>
      <c r="G59" s="21"/>
      <c r="H59" s="21"/>
      <c r="I59" s="21"/>
      <c r="J59" s="21"/>
      <c r="K59" s="21"/>
      <c r="L59" s="21"/>
      <c r="M59" s="23"/>
      <c r="N59" s="100"/>
    </row>
    <row r="60" spans="1:14" ht="15" customHeight="1" x14ac:dyDescent="0.25">
      <c r="A60" s="106"/>
      <c r="B60" s="22"/>
      <c r="C60" s="235" t="s">
        <v>117</v>
      </c>
      <c r="D60" s="235"/>
      <c r="E60" s="235"/>
      <c r="F60" s="18" t="s">
        <v>114</v>
      </c>
      <c r="G60" s="21"/>
      <c r="H60" s="21"/>
      <c r="I60" s="21"/>
      <c r="J60" s="21"/>
      <c r="K60" s="21"/>
      <c r="L60" s="21"/>
      <c r="M60" s="23"/>
      <c r="N60" s="100"/>
    </row>
    <row r="61" spans="1:14" ht="15" customHeight="1" x14ac:dyDescent="0.25">
      <c r="A61" s="106"/>
      <c r="B61" s="22"/>
      <c r="C61" s="235" t="s">
        <v>118</v>
      </c>
      <c r="D61" s="235"/>
      <c r="E61" s="235"/>
      <c r="F61" s="18" t="s">
        <v>115</v>
      </c>
      <c r="G61" s="21"/>
      <c r="H61" s="21"/>
      <c r="I61" s="21"/>
      <c r="J61" s="21"/>
      <c r="K61" s="21"/>
      <c r="L61" s="21"/>
      <c r="M61" s="23"/>
      <c r="N61" s="100"/>
    </row>
    <row r="62" spans="1:14" ht="15" customHeight="1" x14ac:dyDescent="0.25">
      <c r="A62" s="106"/>
      <c r="B62" s="26"/>
      <c r="C62" s="235" t="s">
        <v>119</v>
      </c>
      <c r="D62" s="235"/>
      <c r="E62" s="235"/>
      <c r="F62" s="18" t="s">
        <v>120</v>
      </c>
      <c r="G62" s="27"/>
      <c r="H62" s="27"/>
      <c r="I62" s="27"/>
      <c r="J62" s="27"/>
      <c r="K62" s="27"/>
      <c r="L62" s="27"/>
      <c r="M62" s="28"/>
      <c r="N62" s="100"/>
    </row>
    <row r="63" spans="1:14" ht="15" customHeight="1" x14ac:dyDescent="0.25">
      <c r="A63" s="106"/>
      <c r="B63" s="26" t="s">
        <v>137</v>
      </c>
      <c r="C63" s="27"/>
      <c r="D63" s="27"/>
      <c r="E63" s="27"/>
      <c r="F63" s="27"/>
      <c r="G63" s="27"/>
      <c r="H63" s="27"/>
      <c r="I63" s="27"/>
      <c r="J63" s="27"/>
      <c r="K63" s="27"/>
      <c r="L63" s="27"/>
      <c r="M63" s="28"/>
      <c r="N63" s="100"/>
    </row>
    <row r="64" spans="1:14" x14ac:dyDescent="0.25">
      <c r="A64" s="103"/>
      <c r="B64" s="104"/>
      <c r="C64" s="104"/>
      <c r="D64" s="104"/>
      <c r="E64" s="104"/>
      <c r="F64" s="104"/>
      <c r="G64" s="104"/>
      <c r="H64" s="104"/>
      <c r="I64" s="104"/>
      <c r="J64" s="104"/>
      <c r="K64" s="104"/>
      <c r="L64" s="104"/>
      <c r="M64" s="104"/>
      <c r="N64" s="105"/>
    </row>
  </sheetData>
  <mergeCells count="67">
    <mergeCell ref="H5:H19"/>
    <mergeCell ref="B41:M41"/>
    <mergeCell ref="B42:M43"/>
    <mergeCell ref="B2:M2"/>
    <mergeCell ref="J4:M4"/>
    <mergeCell ref="E40:F40"/>
    <mergeCell ref="E18:F18"/>
    <mergeCell ref="E19:F19"/>
    <mergeCell ref="E20:F20"/>
    <mergeCell ref="B21:F21"/>
    <mergeCell ref="L21:M21"/>
    <mergeCell ref="E17:F17"/>
    <mergeCell ref="B4:F4"/>
    <mergeCell ref="E5:F5"/>
    <mergeCell ref="E7:F7"/>
    <mergeCell ref="E6:F6"/>
    <mergeCell ref="C62:E62"/>
    <mergeCell ref="E30:F30"/>
    <mergeCell ref="E31:F31"/>
    <mergeCell ref="E32:F32"/>
    <mergeCell ref="C51:D51"/>
    <mergeCell ref="C58:E58"/>
    <mergeCell ref="C59:E59"/>
    <mergeCell ref="C60:E60"/>
    <mergeCell ref="C61:E61"/>
    <mergeCell ref="C46:D46"/>
    <mergeCell ref="C47:D47"/>
    <mergeCell ref="C48:D48"/>
    <mergeCell ref="C49:D49"/>
    <mergeCell ref="C50:D50"/>
    <mergeCell ref="E38:F38"/>
    <mergeCell ref="E39:F39"/>
    <mergeCell ref="C45:D45"/>
    <mergeCell ref="E36:F36"/>
    <mergeCell ref="E23:F23"/>
    <mergeCell ref="L23:M23"/>
    <mergeCell ref="E24:F24"/>
    <mergeCell ref="E25:F25"/>
    <mergeCell ref="E26:F26"/>
    <mergeCell ref="E27:F27"/>
    <mergeCell ref="E28:F28"/>
    <mergeCell ref="L28:M28"/>
    <mergeCell ref="E29:F29"/>
    <mergeCell ref="E33:F33"/>
    <mergeCell ref="E35:F35"/>
    <mergeCell ref="G45:L45"/>
    <mergeCell ref="E14:F14"/>
    <mergeCell ref="E15:F15"/>
    <mergeCell ref="E16:F16"/>
    <mergeCell ref="E34:F34"/>
    <mergeCell ref="E8:F8"/>
    <mergeCell ref="E10:F10"/>
    <mergeCell ref="E9:F9"/>
    <mergeCell ref="E11:F11"/>
    <mergeCell ref="E12:F12"/>
    <mergeCell ref="G46:I46"/>
    <mergeCell ref="J46:L46"/>
    <mergeCell ref="G47:I47"/>
    <mergeCell ref="J47:L47"/>
    <mergeCell ref="G48:I48"/>
    <mergeCell ref="J48:L48"/>
    <mergeCell ref="G49:I49"/>
    <mergeCell ref="J49:L49"/>
    <mergeCell ref="G50:I50"/>
    <mergeCell ref="J50:L50"/>
    <mergeCell ref="G51:I51"/>
    <mergeCell ref="J51:L51"/>
  </mergeCells>
  <conditionalFormatting sqref="C33:C35">
    <cfRule type="cellIs" dxfId="32" priority="6" operator="lessThan">
      <formula>#REF!</formula>
    </cfRule>
  </conditionalFormatting>
  <conditionalFormatting sqref="C32">
    <cfRule type="cellIs" dxfId="31" priority="3" operator="lessThan">
      <formula>-0.001</formula>
    </cfRule>
    <cfRule type="cellIs" dxfId="30" priority="4" operator="greaterThan">
      <formula>0.001</formula>
    </cfRule>
  </conditionalFormatting>
  <conditionalFormatting sqref="C39">
    <cfRule type="cellIs" dxfId="29" priority="9" operator="lessThan">
      <formula>$C$6</formula>
    </cfRule>
  </conditionalFormatting>
  <conditionalFormatting sqref="C35">
    <cfRule type="cellIs" dxfId="28" priority="1" operator="lessThan">
      <formula>2.5</formula>
    </cfRule>
    <cfRule type="cellIs" dxfId="27" priority="2" operator="greaterThan">
      <formula>5</formula>
    </cfRule>
  </conditionalFormatting>
  <hyperlinks>
    <hyperlink ref="O1" location="Index!A1" display="INDEX"/>
  </hyperlinks>
  <pageMargins left="0.7" right="0.7" top="0.75" bottom="0.75" header="0.3" footer="0.3"/>
  <pageSetup paperSize="8"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65"/>
  <sheetViews>
    <sheetView topLeftCell="A13" workbookViewId="0">
      <selection activeCell="B41" sqref="B41:M41"/>
    </sheetView>
  </sheetViews>
  <sheetFormatPr defaultRowHeight="15" x14ac:dyDescent="0.25"/>
  <cols>
    <col min="1" max="1" width="2.85546875" style="16" customWidth="1"/>
    <col min="2" max="2" width="9.140625" style="16"/>
    <col min="3" max="3" width="8.85546875" style="16" customWidth="1"/>
    <col min="4" max="4" width="9.85546875" style="16" customWidth="1"/>
    <col min="5" max="5" width="12" style="16" customWidth="1"/>
    <col min="6" max="6" width="21.42578125" style="16" customWidth="1"/>
    <col min="7" max="7" width="3.42578125" style="16" customWidth="1"/>
    <col min="8" max="8" width="5.85546875" style="16" customWidth="1"/>
    <col min="9" max="9" width="3.5703125" style="16" customWidth="1"/>
    <col min="10" max="10" width="9.140625" style="16"/>
    <col min="11" max="11" width="2.7109375" style="16" customWidth="1"/>
    <col min="12" max="12" width="13.5703125" style="16" bestFit="1" customWidth="1"/>
    <col min="13" max="13" width="18.7109375" style="16" bestFit="1" customWidth="1"/>
    <col min="14" max="14" width="3.7109375" style="16" customWidth="1"/>
    <col min="15" max="15" width="4.42578125" style="16" customWidth="1"/>
    <col min="16" max="16384" width="9.140625" style="16"/>
  </cols>
  <sheetData>
    <row r="1" spans="1:15" x14ac:dyDescent="0.25">
      <c r="A1" s="97"/>
      <c r="B1" s="98"/>
      <c r="C1" s="98"/>
      <c r="D1" s="98"/>
      <c r="E1" s="98"/>
      <c r="F1" s="98"/>
      <c r="G1" s="98"/>
      <c r="H1" s="98"/>
      <c r="I1" s="98"/>
      <c r="J1" s="98"/>
      <c r="K1" s="98"/>
      <c r="L1" s="98"/>
      <c r="M1" s="98"/>
      <c r="N1" s="99"/>
      <c r="O1" s="167" t="s">
        <v>426</v>
      </c>
    </row>
    <row r="2" spans="1:15" ht="21" x14ac:dyDescent="0.25">
      <c r="A2" s="106"/>
      <c r="B2" s="238" t="s">
        <v>241</v>
      </c>
      <c r="C2" s="239"/>
      <c r="D2" s="239"/>
      <c r="E2" s="239"/>
      <c r="F2" s="239"/>
      <c r="G2" s="239"/>
      <c r="H2" s="239"/>
      <c r="I2" s="239"/>
      <c r="J2" s="239"/>
      <c r="K2" s="239"/>
      <c r="L2" s="239"/>
      <c r="M2" s="240"/>
      <c r="N2" s="100"/>
    </row>
    <row r="3" spans="1:15" x14ac:dyDescent="0.25">
      <c r="A3" s="106"/>
      <c r="B3" s="22"/>
      <c r="C3" s="21"/>
      <c r="D3" s="21"/>
      <c r="E3" s="21"/>
      <c r="F3" s="21"/>
      <c r="G3" s="21"/>
      <c r="H3" s="21"/>
      <c r="I3" s="21"/>
      <c r="J3" s="21"/>
      <c r="K3" s="21"/>
      <c r="L3" s="21"/>
      <c r="M3" s="23"/>
      <c r="N3" s="100"/>
    </row>
    <row r="4" spans="1:15" x14ac:dyDescent="0.25">
      <c r="A4" s="106"/>
      <c r="B4" s="230" t="s">
        <v>59</v>
      </c>
      <c r="C4" s="230"/>
      <c r="D4" s="230"/>
      <c r="E4" s="230"/>
      <c r="F4" s="230"/>
      <c r="G4" s="21"/>
      <c r="H4" s="21"/>
      <c r="I4" s="21"/>
      <c r="J4" s="21"/>
      <c r="K4" s="21"/>
      <c r="L4" s="21"/>
      <c r="M4" s="23"/>
      <c r="N4" s="100"/>
    </row>
    <row r="5" spans="1:15" ht="18" x14ac:dyDescent="0.25">
      <c r="A5" s="106"/>
      <c r="B5" s="17" t="s">
        <v>11</v>
      </c>
      <c r="C5" s="59">
        <v>8</v>
      </c>
      <c r="D5" s="18" t="s">
        <v>12</v>
      </c>
      <c r="E5" s="183" t="s">
        <v>13</v>
      </c>
      <c r="F5" s="183"/>
      <c r="G5" s="21"/>
      <c r="H5" s="209" t="s">
        <v>243</v>
      </c>
      <c r="I5" s="21"/>
      <c r="J5" s="187" t="s">
        <v>224</v>
      </c>
      <c r="K5" s="220"/>
      <c r="L5" s="220"/>
      <c r="M5" s="188"/>
      <c r="N5" s="100"/>
    </row>
    <row r="6" spans="1:15" ht="18" customHeight="1" x14ac:dyDescent="0.25">
      <c r="A6" s="106"/>
      <c r="B6" s="17" t="s">
        <v>9</v>
      </c>
      <c r="C6" s="59">
        <v>8000</v>
      </c>
      <c r="D6" s="18" t="s">
        <v>16</v>
      </c>
      <c r="E6" s="183" t="s">
        <v>17</v>
      </c>
      <c r="F6" s="183"/>
      <c r="G6" s="21"/>
      <c r="H6" s="210"/>
      <c r="I6" s="21"/>
      <c r="J6" s="8"/>
      <c r="K6" s="12"/>
      <c r="L6" s="12"/>
      <c r="M6" s="9"/>
      <c r="N6" s="100"/>
    </row>
    <row r="7" spans="1:15" ht="18" x14ac:dyDescent="0.25">
      <c r="A7" s="106"/>
      <c r="B7" s="17" t="s">
        <v>139</v>
      </c>
      <c r="C7" s="59">
        <v>3000</v>
      </c>
      <c r="D7" s="18" t="s">
        <v>16</v>
      </c>
      <c r="E7" s="183" t="s">
        <v>140</v>
      </c>
      <c r="F7" s="183"/>
      <c r="G7" s="21"/>
      <c r="H7" s="210"/>
      <c r="I7" s="21"/>
      <c r="J7" s="8"/>
      <c r="K7" s="12"/>
      <c r="L7" s="12"/>
      <c r="M7" s="9"/>
      <c r="N7" s="100"/>
    </row>
    <row r="8" spans="1:15" x14ac:dyDescent="0.25">
      <c r="A8" s="106"/>
      <c r="B8" s="17" t="s">
        <v>14</v>
      </c>
      <c r="C8" s="74">
        <v>0.7</v>
      </c>
      <c r="D8" s="18"/>
      <c r="E8" s="183" t="s">
        <v>15</v>
      </c>
      <c r="F8" s="183"/>
      <c r="G8" s="21"/>
      <c r="H8" s="210"/>
      <c r="I8" s="21"/>
      <c r="J8" s="8"/>
      <c r="K8" s="12"/>
      <c r="L8" s="12"/>
      <c r="M8" s="9"/>
      <c r="N8" s="100"/>
    </row>
    <row r="9" spans="1:15" ht="18" x14ac:dyDescent="0.25">
      <c r="A9" s="106"/>
      <c r="B9" s="17" t="s">
        <v>244</v>
      </c>
      <c r="C9" s="75">
        <v>40</v>
      </c>
      <c r="D9" s="18" t="s">
        <v>19</v>
      </c>
      <c r="E9" s="183" t="s">
        <v>18</v>
      </c>
      <c r="F9" s="183"/>
      <c r="G9" s="21"/>
      <c r="H9" s="210"/>
      <c r="I9" s="21"/>
      <c r="J9" s="8"/>
      <c r="K9" s="12"/>
      <c r="L9" s="12"/>
      <c r="M9" s="9"/>
      <c r="N9" s="100"/>
    </row>
    <row r="10" spans="1:15" ht="18" x14ac:dyDescent="0.25">
      <c r="A10" s="106"/>
      <c r="B10" s="17" t="s">
        <v>157</v>
      </c>
      <c r="C10" s="19">
        <f>(141.5/(131.5+C9))</f>
        <v>0.82507288629737607</v>
      </c>
      <c r="D10" s="18"/>
      <c r="E10" s="183" t="s">
        <v>143</v>
      </c>
      <c r="F10" s="183"/>
      <c r="G10" s="21"/>
      <c r="H10" s="210"/>
      <c r="I10" s="21"/>
      <c r="J10" s="22"/>
      <c r="K10" s="21"/>
      <c r="L10" s="21"/>
      <c r="M10" s="23"/>
      <c r="N10" s="100"/>
    </row>
    <row r="11" spans="1:15" x14ac:dyDescent="0.25">
      <c r="A11" s="106"/>
      <c r="B11" s="17" t="s">
        <v>3</v>
      </c>
      <c r="C11" s="59">
        <v>250</v>
      </c>
      <c r="D11" s="18" t="s">
        <v>20</v>
      </c>
      <c r="E11" s="183" t="s">
        <v>21</v>
      </c>
      <c r="F11" s="183"/>
      <c r="G11" s="21"/>
      <c r="H11" s="210"/>
      <c r="I11" s="21"/>
      <c r="J11" s="8"/>
      <c r="K11" s="12"/>
      <c r="L11" s="12"/>
      <c r="M11" s="9"/>
      <c r="N11" s="100"/>
    </row>
    <row r="12" spans="1:15" ht="17.25" x14ac:dyDescent="0.25">
      <c r="A12" s="106"/>
      <c r="B12" s="17" t="s">
        <v>245</v>
      </c>
      <c r="C12" s="59">
        <v>60</v>
      </c>
      <c r="D12" s="18" t="s">
        <v>23</v>
      </c>
      <c r="E12" s="183" t="s">
        <v>22</v>
      </c>
      <c r="F12" s="183"/>
      <c r="G12" s="21"/>
      <c r="H12" s="210"/>
      <c r="I12" s="21"/>
      <c r="J12" s="8"/>
      <c r="K12" s="12"/>
      <c r="L12" s="12"/>
      <c r="M12" s="9"/>
      <c r="N12" s="100"/>
    </row>
    <row r="13" spans="1:15" ht="17.25" x14ac:dyDescent="0.25">
      <c r="A13" s="106"/>
      <c r="B13" s="17" t="s">
        <v>4</v>
      </c>
      <c r="C13" s="20">
        <f>C12+459.67</f>
        <v>519.67000000000007</v>
      </c>
      <c r="D13" s="18" t="s">
        <v>24</v>
      </c>
      <c r="E13" s="183" t="s">
        <v>22</v>
      </c>
      <c r="F13" s="183"/>
      <c r="G13" s="21"/>
      <c r="H13" s="210"/>
      <c r="I13" s="21"/>
      <c r="J13" s="8"/>
      <c r="K13" s="12"/>
      <c r="L13" s="12"/>
      <c r="M13" s="9"/>
      <c r="N13" s="100"/>
    </row>
    <row r="14" spans="1:15" x14ac:dyDescent="0.25">
      <c r="A14" s="106"/>
      <c r="B14" s="17" t="s">
        <v>225</v>
      </c>
      <c r="C14" s="76">
        <v>20.3</v>
      </c>
      <c r="D14" s="18" t="s">
        <v>226</v>
      </c>
      <c r="E14" s="43" t="s">
        <v>227</v>
      </c>
      <c r="F14" s="68"/>
      <c r="G14" s="21"/>
      <c r="H14" s="210"/>
      <c r="I14" s="21"/>
      <c r="J14" s="8"/>
      <c r="K14" s="12"/>
      <c r="L14" s="12"/>
      <c r="M14" s="9"/>
      <c r="N14" s="100"/>
    </row>
    <row r="15" spans="1:15" x14ac:dyDescent="0.25">
      <c r="A15" s="106"/>
      <c r="B15" s="17" t="s">
        <v>100</v>
      </c>
      <c r="C15" s="59">
        <v>18</v>
      </c>
      <c r="D15" s="18" t="s">
        <v>57</v>
      </c>
      <c r="E15" s="183" t="s">
        <v>102</v>
      </c>
      <c r="F15" s="183"/>
      <c r="G15" s="21"/>
      <c r="H15" s="210"/>
      <c r="I15" s="21"/>
      <c r="J15" s="8"/>
      <c r="K15" s="12"/>
      <c r="L15" s="12"/>
      <c r="M15" s="9"/>
      <c r="N15" s="100"/>
    </row>
    <row r="16" spans="1:15" ht="18" x14ac:dyDescent="0.25">
      <c r="A16" s="106"/>
      <c r="B16" s="17" t="s">
        <v>145</v>
      </c>
      <c r="C16" s="59">
        <v>5</v>
      </c>
      <c r="D16" s="18" t="s">
        <v>25</v>
      </c>
      <c r="E16" s="183" t="s">
        <v>238</v>
      </c>
      <c r="F16" s="183"/>
      <c r="G16" s="21"/>
      <c r="H16" s="210"/>
      <c r="I16" s="21"/>
      <c r="J16" s="8"/>
      <c r="K16" s="12"/>
      <c r="L16" s="12"/>
      <c r="M16" s="9"/>
      <c r="N16" s="100"/>
    </row>
    <row r="17" spans="1:15" ht="18" x14ac:dyDescent="0.25">
      <c r="A17" s="106"/>
      <c r="B17" s="17" t="s">
        <v>146</v>
      </c>
      <c r="C17" s="59">
        <v>5</v>
      </c>
      <c r="D17" s="18" t="s">
        <v>25</v>
      </c>
      <c r="E17" s="183" t="s">
        <v>239</v>
      </c>
      <c r="F17" s="183"/>
      <c r="G17" s="21"/>
      <c r="H17" s="210"/>
      <c r="I17" s="21"/>
      <c r="J17" s="8"/>
      <c r="K17" s="12"/>
      <c r="L17" s="12"/>
      <c r="M17" s="9"/>
      <c r="N17" s="100"/>
    </row>
    <row r="18" spans="1:15" x14ac:dyDescent="0.25">
      <c r="A18" s="106"/>
      <c r="B18" s="17" t="s">
        <v>5</v>
      </c>
      <c r="C18" s="59">
        <v>0.84</v>
      </c>
      <c r="D18" s="18"/>
      <c r="E18" s="183" t="s">
        <v>28</v>
      </c>
      <c r="F18" s="183"/>
      <c r="G18" s="21"/>
      <c r="H18" s="210"/>
      <c r="I18" s="21"/>
      <c r="J18" s="8"/>
      <c r="K18" s="12"/>
      <c r="L18" s="12"/>
      <c r="M18" s="9"/>
      <c r="N18" s="100"/>
    </row>
    <row r="19" spans="1:15" ht="18" x14ac:dyDescent="0.25">
      <c r="A19" s="106"/>
      <c r="B19" s="17" t="s">
        <v>8</v>
      </c>
      <c r="C19" s="59">
        <v>1.2999999999999999E-2</v>
      </c>
      <c r="D19" s="18" t="s">
        <v>29</v>
      </c>
      <c r="E19" s="183" t="s">
        <v>30</v>
      </c>
      <c r="F19" s="183"/>
      <c r="G19" s="21"/>
      <c r="H19" s="210"/>
      <c r="I19" s="21"/>
      <c r="J19" s="8"/>
      <c r="K19" s="12"/>
      <c r="L19" s="12"/>
      <c r="M19" s="9"/>
      <c r="N19" s="100"/>
    </row>
    <row r="20" spans="1:15" x14ac:dyDescent="0.25">
      <c r="A20" s="106"/>
      <c r="B20" s="17" t="s">
        <v>72</v>
      </c>
      <c r="C20" s="59">
        <f>IF(C15&lt;5,0.12,IF(C15&gt;10,0.35,0.18))</f>
        <v>0.35</v>
      </c>
      <c r="D20" s="18" t="s">
        <v>39</v>
      </c>
      <c r="E20" s="183" t="s">
        <v>99</v>
      </c>
      <c r="F20" s="183"/>
      <c r="G20" s="21"/>
      <c r="H20" s="210"/>
      <c r="I20" s="21"/>
      <c r="J20" s="22"/>
      <c r="K20" s="21"/>
      <c r="L20" s="21"/>
      <c r="M20" s="23"/>
      <c r="N20" s="100"/>
    </row>
    <row r="21" spans="1:15" ht="18" x14ac:dyDescent="0.25">
      <c r="A21" s="106"/>
      <c r="B21" s="17" t="s">
        <v>129</v>
      </c>
      <c r="C21" s="77">
        <v>0.5</v>
      </c>
      <c r="D21" s="18"/>
      <c r="E21" s="183" t="s">
        <v>101</v>
      </c>
      <c r="F21" s="183"/>
      <c r="G21" s="21"/>
      <c r="H21" s="211"/>
      <c r="I21" s="21"/>
      <c r="J21" s="26"/>
      <c r="K21" s="27"/>
      <c r="L21" s="27"/>
      <c r="M21" s="28"/>
      <c r="N21" s="100"/>
    </row>
    <row r="22" spans="1:15" x14ac:dyDescent="0.25">
      <c r="A22" s="106"/>
      <c r="B22" s="22"/>
      <c r="C22" s="21"/>
      <c r="D22" s="21"/>
      <c r="E22" s="21"/>
      <c r="F22" s="21"/>
      <c r="G22" s="21"/>
      <c r="H22" s="21"/>
      <c r="I22" s="21"/>
      <c r="J22" s="21"/>
      <c r="K22" s="21"/>
      <c r="L22" s="21"/>
      <c r="M22" s="23"/>
      <c r="N22" s="100"/>
    </row>
    <row r="23" spans="1:15" x14ac:dyDescent="0.25">
      <c r="A23" s="106"/>
      <c r="B23" s="195" t="s">
        <v>60</v>
      </c>
      <c r="C23" s="195"/>
      <c r="D23" s="195"/>
      <c r="E23" s="195"/>
      <c r="F23" s="195"/>
      <c r="G23" s="21"/>
      <c r="H23" s="72" t="s">
        <v>61</v>
      </c>
      <c r="I23" s="71"/>
      <c r="J23" s="70"/>
      <c r="K23" s="21"/>
      <c r="L23" s="187" t="s">
        <v>85</v>
      </c>
      <c r="M23" s="188"/>
      <c r="N23" s="100"/>
      <c r="O23" s="60"/>
    </row>
    <row r="24" spans="1:15" x14ac:dyDescent="0.25">
      <c r="A24" s="106"/>
      <c r="B24" s="86" t="s">
        <v>26</v>
      </c>
      <c r="C24" s="21" t="s">
        <v>27</v>
      </c>
      <c r="D24" s="21"/>
      <c r="E24" s="87"/>
      <c r="F24" s="87"/>
      <c r="G24" s="21"/>
      <c r="H24" s="22"/>
      <c r="I24" s="21"/>
      <c r="J24" s="23"/>
      <c r="K24" s="21"/>
      <c r="L24" s="22"/>
      <c r="M24" s="23"/>
      <c r="N24" s="100"/>
    </row>
    <row r="25" spans="1:15" ht="18" x14ac:dyDescent="0.25">
      <c r="A25" s="106"/>
      <c r="B25" s="17" t="s">
        <v>0</v>
      </c>
      <c r="C25" s="24">
        <f>2.7*C8*C11/C13/C18</f>
        <v>1.0824176881482477</v>
      </c>
      <c r="D25" s="18" t="s">
        <v>31</v>
      </c>
      <c r="E25" s="183" t="s">
        <v>69</v>
      </c>
      <c r="F25" s="183"/>
      <c r="G25" s="21"/>
      <c r="H25" s="22"/>
      <c r="I25" s="21"/>
      <c r="J25" s="23"/>
      <c r="K25" s="21"/>
      <c r="L25" s="227" t="s">
        <v>97</v>
      </c>
      <c r="M25" s="228"/>
      <c r="N25" s="100"/>
    </row>
    <row r="26" spans="1:15" ht="30" x14ac:dyDescent="0.25">
      <c r="A26" s="106"/>
      <c r="B26" s="17" t="s">
        <v>32</v>
      </c>
      <c r="C26" s="24">
        <f>62.4*C10</f>
        <v>51.484548104956268</v>
      </c>
      <c r="D26" s="18" t="s">
        <v>31</v>
      </c>
      <c r="E26" s="183" t="s">
        <v>70</v>
      </c>
      <c r="F26" s="183"/>
      <c r="G26" s="21"/>
      <c r="H26" s="22"/>
      <c r="I26" s="21"/>
      <c r="J26" s="23"/>
      <c r="K26" s="21"/>
      <c r="L26" s="69" t="s">
        <v>86</v>
      </c>
      <c r="M26" s="33" t="s">
        <v>133</v>
      </c>
      <c r="N26" s="100"/>
    </row>
    <row r="27" spans="1:15" x14ac:dyDescent="0.25">
      <c r="A27" s="106"/>
      <c r="B27" s="22"/>
      <c r="C27" s="21"/>
      <c r="D27" s="21"/>
      <c r="E27" s="229"/>
      <c r="F27" s="229"/>
      <c r="G27" s="21"/>
      <c r="H27" s="22"/>
      <c r="I27" s="21"/>
      <c r="J27" s="23"/>
      <c r="K27" s="21"/>
      <c r="L27" s="67">
        <v>5</v>
      </c>
      <c r="M27" s="67" t="s">
        <v>88</v>
      </c>
      <c r="N27" s="100"/>
    </row>
    <row r="28" spans="1:15" x14ac:dyDescent="0.25">
      <c r="A28" s="106"/>
      <c r="B28" s="86" t="s">
        <v>33</v>
      </c>
      <c r="C28" s="21"/>
      <c r="D28" s="21"/>
      <c r="E28" s="229"/>
      <c r="F28" s="229"/>
      <c r="G28" s="21"/>
      <c r="H28" s="22"/>
      <c r="I28" s="21"/>
      <c r="J28" s="23"/>
      <c r="K28" s="21"/>
      <c r="L28" s="67">
        <v>10</v>
      </c>
      <c r="M28" s="67" t="s">
        <v>89</v>
      </c>
      <c r="N28" s="100"/>
    </row>
    <row r="29" spans="1:15" ht="18" x14ac:dyDescent="0.25">
      <c r="A29" s="106"/>
      <c r="B29" s="18" t="s">
        <v>71</v>
      </c>
      <c r="C29" s="24">
        <f>C20*SQRT((C26-C25)/C25)</f>
        <v>2.3883339433089974</v>
      </c>
      <c r="D29" s="18" t="s">
        <v>39</v>
      </c>
      <c r="E29" s="183"/>
      <c r="F29" s="183"/>
      <c r="G29" s="21"/>
      <c r="H29" s="22"/>
      <c r="I29" s="21"/>
      <c r="J29" s="23"/>
      <c r="K29" s="21"/>
      <c r="L29" s="14"/>
      <c r="M29" s="15"/>
      <c r="N29" s="100"/>
    </row>
    <row r="30" spans="1:15" ht="18" x14ac:dyDescent="0.25">
      <c r="A30" s="106"/>
      <c r="B30" s="18" t="s">
        <v>73</v>
      </c>
      <c r="C30" s="19">
        <f>C5*1000000*C14/379.5/86400/C25</f>
        <v>4.5757851190379384</v>
      </c>
      <c r="D30" s="18" t="s">
        <v>77</v>
      </c>
      <c r="E30" s="183" t="s">
        <v>74</v>
      </c>
      <c r="F30" s="183"/>
      <c r="G30" s="21"/>
      <c r="H30" s="22"/>
      <c r="I30" s="21"/>
      <c r="J30" s="23"/>
      <c r="K30" s="21"/>
      <c r="L30" s="227" t="s">
        <v>98</v>
      </c>
      <c r="M30" s="228"/>
      <c r="N30" s="100"/>
    </row>
    <row r="31" spans="1:15" ht="39" customHeight="1" x14ac:dyDescent="0.25">
      <c r="A31" s="106"/>
      <c r="B31" s="18" t="s">
        <v>75</v>
      </c>
      <c r="C31" s="19">
        <f>C30/C29</f>
        <v>1.9158900001639902</v>
      </c>
      <c r="D31" s="18" t="s">
        <v>76</v>
      </c>
      <c r="E31" s="183" t="s">
        <v>78</v>
      </c>
      <c r="F31" s="183"/>
      <c r="G31" s="21"/>
      <c r="H31" s="22"/>
      <c r="I31" s="21"/>
      <c r="J31" s="23"/>
      <c r="K31" s="21"/>
      <c r="L31" s="69" t="s">
        <v>91</v>
      </c>
      <c r="M31" s="33" t="s">
        <v>109</v>
      </c>
      <c r="N31" s="100"/>
    </row>
    <row r="32" spans="1:15" ht="18" x14ac:dyDescent="0.25">
      <c r="A32" s="106"/>
      <c r="B32" s="52" t="s">
        <v>228</v>
      </c>
      <c r="C32" s="20">
        <f>SQRT(4/3.142*C31)*12</f>
        <v>18.741029172413832</v>
      </c>
      <c r="D32" s="52" t="s">
        <v>48</v>
      </c>
      <c r="E32" s="190" t="s">
        <v>36</v>
      </c>
      <c r="F32" s="190"/>
      <c r="G32" s="21"/>
      <c r="H32" s="26"/>
      <c r="I32" s="27"/>
      <c r="J32" s="28"/>
      <c r="K32" s="21"/>
      <c r="L32" s="67" t="s">
        <v>92</v>
      </c>
      <c r="M32" s="58" t="s">
        <v>216</v>
      </c>
      <c r="N32" s="100"/>
    </row>
    <row r="33" spans="1:15" ht="36" customHeight="1" x14ac:dyDescent="0.25">
      <c r="A33" s="106"/>
      <c r="B33" s="132" t="s">
        <v>319</v>
      </c>
      <c r="C33" s="133">
        <v>96</v>
      </c>
      <c r="D33" s="132" t="s">
        <v>48</v>
      </c>
      <c r="E33" s="241" t="s">
        <v>321</v>
      </c>
      <c r="F33" s="242"/>
      <c r="G33" s="21"/>
      <c r="H33" s="21"/>
      <c r="I33" s="21"/>
      <c r="J33" s="21"/>
      <c r="K33" s="21"/>
      <c r="L33" s="64" t="s">
        <v>217</v>
      </c>
      <c r="M33" s="61"/>
      <c r="N33" s="100"/>
    </row>
    <row r="34" spans="1:15" ht="17.25" x14ac:dyDescent="0.25">
      <c r="A34" s="106"/>
      <c r="B34" s="78" t="s">
        <v>100</v>
      </c>
      <c r="C34" s="81">
        <f>C15</f>
        <v>18</v>
      </c>
      <c r="D34" s="78" t="s">
        <v>57</v>
      </c>
      <c r="E34" s="91" t="s">
        <v>274</v>
      </c>
      <c r="F34" s="92"/>
      <c r="G34" s="21"/>
      <c r="H34" s="21"/>
      <c r="I34" s="21"/>
      <c r="J34" s="21"/>
      <c r="K34" s="21"/>
      <c r="L34" s="62" t="s">
        <v>219</v>
      </c>
      <c r="M34" s="65" t="s">
        <v>218</v>
      </c>
      <c r="N34" s="100"/>
    </row>
    <row r="35" spans="1:15" ht="17.25" x14ac:dyDescent="0.25">
      <c r="A35" s="106"/>
      <c r="B35" s="78" t="s">
        <v>279</v>
      </c>
      <c r="C35" s="84">
        <f>C34*12/C33</f>
        <v>2.25</v>
      </c>
      <c r="D35" s="78" t="s">
        <v>280</v>
      </c>
      <c r="E35" s="145" t="s">
        <v>281</v>
      </c>
      <c r="F35" s="146"/>
      <c r="G35" s="21"/>
      <c r="H35" s="21"/>
      <c r="I35" s="21"/>
      <c r="J35" s="21"/>
      <c r="K35" s="21"/>
      <c r="L35" s="62" t="s">
        <v>220</v>
      </c>
      <c r="M35" s="65" t="s">
        <v>222</v>
      </c>
      <c r="N35" s="100"/>
    </row>
    <row r="36" spans="1:15" ht="17.25" x14ac:dyDescent="0.25">
      <c r="A36" s="106"/>
      <c r="B36" s="22"/>
      <c r="C36" s="21"/>
      <c r="D36" s="21"/>
      <c r="E36" s="21"/>
      <c r="F36" s="21"/>
      <c r="G36" s="21"/>
      <c r="H36" s="21"/>
      <c r="I36" s="21"/>
      <c r="J36" s="21"/>
      <c r="K36" s="21"/>
      <c r="L36" s="63" t="s">
        <v>221</v>
      </c>
      <c r="M36" s="66" t="s">
        <v>223</v>
      </c>
      <c r="N36" s="100"/>
    </row>
    <row r="37" spans="1:15" x14ac:dyDescent="0.25">
      <c r="A37" s="106"/>
      <c r="B37" s="86" t="s">
        <v>44</v>
      </c>
      <c r="C37" s="21"/>
      <c r="D37" s="21"/>
      <c r="E37" s="87"/>
      <c r="F37" s="87"/>
      <c r="G37" s="21"/>
      <c r="H37" s="21"/>
      <c r="I37" s="21"/>
      <c r="J37" s="21"/>
      <c r="K37" s="21"/>
      <c r="M37" s="23"/>
      <c r="N37" s="100"/>
    </row>
    <row r="38" spans="1:15" ht="31.5" customHeight="1" x14ac:dyDescent="0.25">
      <c r="A38" s="106"/>
      <c r="B38" s="18" t="s">
        <v>81</v>
      </c>
      <c r="C38" s="20">
        <f>PI()/4*C33^2*C15*C21/144/5.615</f>
        <v>80.568003938901185</v>
      </c>
      <c r="D38" s="18" t="s">
        <v>82</v>
      </c>
      <c r="E38" s="183" t="s">
        <v>83</v>
      </c>
      <c r="F38" s="183"/>
      <c r="G38" s="21"/>
      <c r="H38" s="21"/>
      <c r="I38" s="21"/>
      <c r="J38" s="21"/>
      <c r="K38" s="21"/>
      <c r="M38" s="23"/>
      <c r="N38" s="100"/>
    </row>
    <row r="39" spans="1:15" ht="45.75" customHeight="1" x14ac:dyDescent="0.25">
      <c r="A39" s="106"/>
      <c r="B39" s="18" t="s">
        <v>80</v>
      </c>
      <c r="C39" s="20">
        <f>1440*C38/(C16+C17)</f>
        <v>11601.79256720177</v>
      </c>
      <c r="D39" s="18" t="s">
        <v>84</v>
      </c>
      <c r="E39" s="183" t="str">
        <f>"Liquid capacity of separator should be more than "&amp;(C6+C7) &amp; " bpd (input value)"</f>
        <v>Liquid capacity of separator should be more than 11000 bpd (input value)</v>
      </c>
      <c r="F39" s="183"/>
      <c r="G39" s="21"/>
      <c r="H39" s="21"/>
      <c r="I39" s="21"/>
      <c r="J39" s="21"/>
      <c r="K39" s="21"/>
      <c r="L39" s="21"/>
      <c r="M39" s="23"/>
      <c r="N39" s="100"/>
      <c r="O39" s="21"/>
    </row>
    <row r="40" spans="1:15" x14ac:dyDescent="0.25">
      <c r="A40" s="106"/>
      <c r="B40" s="22"/>
      <c r="C40" s="21"/>
      <c r="D40" s="21"/>
      <c r="E40" s="229"/>
      <c r="F40" s="229"/>
      <c r="G40" s="21"/>
      <c r="H40" s="21"/>
      <c r="I40" s="21"/>
      <c r="J40" s="21"/>
      <c r="K40" s="21"/>
      <c r="L40" s="21"/>
      <c r="M40" s="23"/>
      <c r="N40" s="100"/>
    </row>
    <row r="41" spans="1:15" x14ac:dyDescent="0.25">
      <c r="A41" s="106"/>
      <c r="B41" s="187" t="s">
        <v>132</v>
      </c>
      <c r="C41" s="220"/>
      <c r="D41" s="220"/>
      <c r="E41" s="220"/>
      <c r="F41" s="220"/>
      <c r="G41" s="220"/>
      <c r="H41" s="220"/>
      <c r="I41" s="220"/>
      <c r="J41" s="220"/>
      <c r="K41" s="220"/>
      <c r="L41" s="220"/>
      <c r="M41" s="188"/>
      <c r="N41" s="100"/>
    </row>
    <row r="42" spans="1:15" ht="15" customHeight="1" x14ac:dyDescent="0.25">
      <c r="A42" s="106"/>
      <c r="B42" s="221" t="s">
        <v>90</v>
      </c>
      <c r="C42" s="222"/>
      <c r="D42" s="222"/>
      <c r="E42" s="222"/>
      <c r="F42" s="222"/>
      <c r="G42" s="222"/>
      <c r="H42" s="222"/>
      <c r="I42" s="222"/>
      <c r="J42" s="222"/>
      <c r="K42" s="222"/>
      <c r="L42" s="222"/>
      <c r="M42" s="223"/>
      <c r="N42" s="102"/>
      <c r="O42" s="5"/>
    </row>
    <row r="43" spans="1:15" x14ac:dyDescent="0.25">
      <c r="A43" s="106"/>
      <c r="B43" s="224"/>
      <c r="C43" s="225"/>
      <c r="D43" s="225"/>
      <c r="E43" s="225"/>
      <c r="F43" s="225"/>
      <c r="G43" s="225"/>
      <c r="H43" s="225"/>
      <c r="I43" s="225"/>
      <c r="J43" s="225"/>
      <c r="K43" s="225"/>
      <c r="L43" s="225"/>
      <c r="M43" s="226"/>
      <c r="N43" s="102"/>
      <c r="O43" s="5"/>
    </row>
    <row r="44" spans="1:15" x14ac:dyDescent="0.25">
      <c r="A44" s="106"/>
      <c r="B44" s="55" t="s">
        <v>104</v>
      </c>
      <c r="C44" s="56"/>
      <c r="D44" s="56"/>
      <c r="E44" s="56"/>
      <c r="F44" s="56"/>
      <c r="G44" s="56"/>
      <c r="H44" s="56"/>
      <c r="I44" s="56"/>
      <c r="J44" s="56"/>
      <c r="K44" s="56"/>
      <c r="L44" s="56"/>
      <c r="M44" s="57"/>
      <c r="N44" s="100"/>
    </row>
    <row r="45" spans="1:15" x14ac:dyDescent="0.25">
      <c r="A45" s="106"/>
      <c r="B45" s="22"/>
      <c r="C45" s="231" t="s">
        <v>106</v>
      </c>
      <c r="D45" s="231"/>
      <c r="E45" s="69" t="s">
        <v>107</v>
      </c>
      <c r="F45" s="21"/>
      <c r="G45" s="200" t="s">
        <v>413</v>
      </c>
      <c r="H45" s="201"/>
      <c r="I45" s="201"/>
      <c r="J45" s="201"/>
      <c r="K45" s="201"/>
      <c r="L45" s="202"/>
      <c r="M45" s="23"/>
      <c r="N45" s="100"/>
    </row>
    <row r="46" spans="1:15" x14ac:dyDescent="0.25">
      <c r="A46" s="106"/>
      <c r="B46" s="30"/>
      <c r="C46" s="232">
        <v>0</v>
      </c>
      <c r="D46" s="232"/>
      <c r="E46" s="29">
        <v>0.107</v>
      </c>
      <c r="F46" s="21"/>
      <c r="G46" s="200" t="s">
        <v>411</v>
      </c>
      <c r="H46" s="201"/>
      <c r="I46" s="202"/>
      <c r="J46" s="200" t="s">
        <v>412</v>
      </c>
      <c r="K46" s="201"/>
      <c r="L46" s="202"/>
      <c r="M46" s="23"/>
      <c r="N46" s="100"/>
    </row>
    <row r="47" spans="1:15" x14ac:dyDescent="0.25">
      <c r="A47" s="106"/>
      <c r="B47" s="30"/>
      <c r="C47" s="232">
        <v>7</v>
      </c>
      <c r="D47" s="232"/>
      <c r="E47" s="29">
        <v>0.107</v>
      </c>
      <c r="F47" s="21"/>
      <c r="G47" s="203" t="s">
        <v>414</v>
      </c>
      <c r="H47" s="204"/>
      <c r="I47" s="205"/>
      <c r="J47" s="203">
        <v>100</v>
      </c>
      <c r="K47" s="204"/>
      <c r="L47" s="205"/>
      <c r="M47" s="23"/>
      <c r="N47" s="100"/>
    </row>
    <row r="48" spans="1:15" x14ac:dyDescent="0.25">
      <c r="A48" s="106"/>
      <c r="B48" s="30"/>
      <c r="C48" s="232">
        <v>21</v>
      </c>
      <c r="D48" s="232"/>
      <c r="E48" s="29">
        <v>0.10100000000000001</v>
      </c>
      <c r="F48" s="21"/>
      <c r="G48" s="203">
        <v>150</v>
      </c>
      <c r="H48" s="204"/>
      <c r="I48" s="205"/>
      <c r="J48" s="203">
        <v>90</v>
      </c>
      <c r="K48" s="204"/>
      <c r="L48" s="205"/>
      <c r="M48" s="23"/>
      <c r="N48" s="100"/>
    </row>
    <row r="49" spans="1:14" x14ac:dyDescent="0.25">
      <c r="A49" s="106"/>
      <c r="B49" s="30"/>
      <c r="C49" s="232">
        <v>42</v>
      </c>
      <c r="D49" s="232"/>
      <c r="E49" s="29">
        <v>9.1999999999999998E-2</v>
      </c>
      <c r="F49" s="21"/>
      <c r="G49" s="203">
        <v>300</v>
      </c>
      <c r="H49" s="204"/>
      <c r="I49" s="205"/>
      <c r="J49" s="203">
        <v>85</v>
      </c>
      <c r="K49" s="204"/>
      <c r="L49" s="205"/>
      <c r="M49" s="23"/>
      <c r="N49" s="100"/>
    </row>
    <row r="50" spans="1:14" x14ac:dyDescent="0.25">
      <c r="A50" s="106"/>
      <c r="B50" s="30"/>
      <c r="C50" s="232">
        <v>63</v>
      </c>
      <c r="D50" s="232"/>
      <c r="E50" s="29">
        <v>8.3000000000000004E-2</v>
      </c>
      <c r="F50" s="21"/>
      <c r="G50" s="203">
        <v>600</v>
      </c>
      <c r="H50" s="204"/>
      <c r="I50" s="205"/>
      <c r="J50" s="203">
        <v>80</v>
      </c>
      <c r="K50" s="204"/>
      <c r="L50" s="205"/>
      <c r="M50" s="23"/>
      <c r="N50" s="100"/>
    </row>
    <row r="51" spans="1:14" x14ac:dyDescent="0.25">
      <c r="A51" s="106"/>
      <c r="B51" s="30"/>
      <c r="C51" s="232">
        <v>105</v>
      </c>
      <c r="D51" s="232"/>
      <c r="E51" s="29">
        <v>6.5000000000000002E-2</v>
      </c>
      <c r="F51" s="21"/>
      <c r="G51" s="203">
        <v>1150</v>
      </c>
      <c r="H51" s="204"/>
      <c r="I51" s="205"/>
      <c r="J51" s="203">
        <v>75</v>
      </c>
      <c r="K51" s="204"/>
      <c r="L51" s="205"/>
      <c r="M51" s="23"/>
      <c r="N51" s="100"/>
    </row>
    <row r="52" spans="1:14" x14ac:dyDescent="0.25">
      <c r="A52" s="106"/>
      <c r="B52" s="22"/>
      <c r="C52" s="21"/>
      <c r="D52" s="21"/>
      <c r="E52" s="21"/>
      <c r="F52" s="21"/>
      <c r="G52" s="21"/>
      <c r="H52" s="21"/>
      <c r="I52" s="21"/>
      <c r="J52" s="21"/>
      <c r="K52" s="21"/>
      <c r="L52" s="21"/>
      <c r="M52" s="23"/>
      <c r="N52" s="100"/>
    </row>
    <row r="53" spans="1:14" x14ac:dyDescent="0.25">
      <c r="A53" s="106"/>
      <c r="B53" s="22"/>
      <c r="C53" s="31" t="s">
        <v>105</v>
      </c>
      <c r="D53" s="21"/>
      <c r="E53" s="21"/>
      <c r="F53" s="21"/>
      <c r="G53" s="21"/>
      <c r="H53" s="21"/>
      <c r="I53" s="21"/>
      <c r="J53" s="21"/>
      <c r="K53" s="21"/>
      <c r="L53" s="21"/>
      <c r="M53" s="23"/>
      <c r="N53" s="100"/>
    </row>
    <row r="54" spans="1:14" x14ac:dyDescent="0.25">
      <c r="A54" s="106"/>
      <c r="B54" s="22"/>
      <c r="C54" s="21" t="s">
        <v>233</v>
      </c>
      <c r="D54" s="21"/>
      <c r="E54" s="21"/>
      <c r="F54" s="21"/>
      <c r="G54" s="21"/>
      <c r="H54" s="21"/>
      <c r="I54" s="21"/>
      <c r="J54" s="21"/>
      <c r="K54" s="21"/>
      <c r="L54" s="21"/>
      <c r="M54" s="23"/>
      <c r="N54" s="100"/>
    </row>
    <row r="55" spans="1:14" x14ac:dyDescent="0.25">
      <c r="A55" s="106"/>
      <c r="B55" s="22"/>
      <c r="C55" s="32" t="s">
        <v>231</v>
      </c>
      <c r="D55" s="21"/>
      <c r="E55" s="21"/>
      <c r="F55" s="21"/>
      <c r="G55" s="21"/>
      <c r="H55" s="21"/>
      <c r="I55" s="21"/>
      <c r="J55" s="21"/>
      <c r="K55" s="21"/>
      <c r="L55" s="21"/>
      <c r="M55" s="23"/>
      <c r="N55" s="100"/>
    </row>
    <row r="56" spans="1:14" x14ac:dyDescent="0.25">
      <c r="A56" s="106"/>
      <c r="B56" s="22"/>
      <c r="C56" s="21" t="s">
        <v>232</v>
      </c>
      <c r="D56" s="21"/>
      <c r="E56" s="21"/>
      <c r="F56" s="21"/>
      <c r="G56" s="21"/>
      <c r="H56" s="21"/>
      <c r="I56" s="21"/>
      <c r="J56" s="21"/>
      <c r="K56" s="21"/>
      <c r="L56" s="21"/>
      <c r="M56" s="23"/>
      <c r="N56" s="100"/>
    </row>
    <row r="57" spans="1:14" s="21" customFormat="1" x14ac:dyDescent="0.25">
      <c r="A57" s="106"/>
      <c r="B57" s="26"/>
      <c r="C57" s="27" t="s">
        <v>234</v>
      </c>
      <c r="D57" s="27"/>
      <c r="E57" s="27"/>
      <c r="F57" s="27"/>
      <c r="G57" s="27"/>
      <c r="H57" s="27"/>
      <c r="I57" s="27"/>
      <c r="J57" s="27"/>
      <c r="K57" s="27"/>
      <c r="L57" s="27"/>
      <c r="M57" s="28"/>
      <c r="N57" s="100"/>
    </row>
    <row r="58" spans="1:14" x14ac:dyDescent="0.25">
      <c r="A58" s="106"/>
      <c r="B58" s="55" t="s">
        <v>110</v>
      </c>
      <c r="C58" s="56"/>
      <c r="D58" s="56"/>
      <c r="E58" s="56"/>
      <c r="F58" s="56"/>
      <c r="G58" s="56"/>
      <c r="H58" s="56"/>
      <c r="I58" s="56"/>
      <c r="J58" s="56"/>
      <c r="K58" s="56"/>
      <c r="L58" s="56"/>
      <c r="M58" s="57"/>
      <c r="N58" s="100"/>
    </row>
    <row r="59" spans="1:14" ht="15" customHeight="1" x14ac:dyDescent="0.25">
      <c r="A59" s="106"/>
      <c r="B59" s="22"/>
      <c r="C59" s="235" t="s">
        <v>111</v>
      </c>
      <c r="D59" s="235"/>
      <c r="E59" s="235"/>
      <c r="F59" s="36" t="s">
        <v>112</v>
      </c>
      <c r="G59" s="21"/>
      <c r="H59" s="21"/>
      <c r="I59" s="21"/>
      <c r="J59" s="21"/>
      <c r="K59" s="21"/>
      <c r="L59" s="21"/>
      <c r="M59" s="23"/>
      <c r="N59" s="100"/>
    </row>
    <row r="60" spans="1:14" ht="15" customHeight="1" x14ac:dyDescent="0.25">
      <c r="A60" s="106"/>
      <c r="B60" s="22"/>
      <c r="C60" s="235" t="s">
        <v>116</v>
      </c>
      <c r="D60" s="235"/>
      <c r="E60" s="235"/>
      <c r="F60" s="18" t="s">
        <v>113</v>
      </c>
      <c r="G60" s="21"/>
      <c r="H60" s="21"/>
      <c r="I60" s="21"/>
      <c r="J60" s="21"/>
      <c r="K60" s="21"/>
      <c r="L60" s="21"/>
      <c r="M60" s="23"/>
      <c r="N60" s="100"/>
    </row>
    <row r="61" spans="1:14" ht="15" customHeight="1" x14ac:dyDescent="0.25">
      <c r="A61" s="106"/>
      <c r="B61" s="22"/>
      <c r="C61" s="235" t="s">
        <v>117</v>
      </c>
      <c r="D61" s="235"/>
      <c r="E61" s="235"/>
      <c r="F61" s="18" t="s">
        <v>114</v>
      </c>
      <c r="G61" s="21"/>
      <c r="H61" s="21"/>
      <c r="I61" s="21"/>
      <c r="J61" s="21"/>
      <c r="K61" s="21"/>
      <c r="L61" s="21"/>
      <c r="M61" s="23"/>
      <c r="N61" s="100"/>
    </row>
    <row r="62" spans="1:14" ht="15" customHeight="1" x14ac:dyDescent="0.25">
      <c r="A62" s="106"/>
      <c r="B62" s="22"/>
      <c r="C62" s="235" t="s">
        <v>118</v>
      </c>
      <c r="D62" s="235"/>
      <c r="E62" s="235"/>
      <c r="F62" s="18" t="s">
        <v>115</v>
      </c>
      <c r="G62" s="21"/>
      <c r="H62" s="21"/>
      <c r="I62" s="21"/>
      <c r="J62" s="21"/>
      <c r="K62" s="21"/>
      <c r="L62" s="21"/>
      <c r="M62" s="23"/>
      <c r="N62" s="100"/>
    </row>
    <row r="63" spans="1:14" ht="15" customHeight="1" x14ac:dyDescent="0.25">
      <c r="A63" s="106"/>
      <c r="B63" s="26"/>
      <c r="C63" s="235" t="s">
        <v>119</v>
      </c>
      <c r="D63" s="235"/>
      <c r="E63" s="235"/>
      <c r="F63" s="18" t="s">
        <v>120</v>
      </c>
      <c r="G63" s="27"/>
      <c r="H63" s="27"/>
      <c r="I63" s="27"/>
      <c r="J63" s="27"/>
      <c r="K63" s="27"/>
      <c r="L63" s="27"/>
      <c r="M63" s="28"/>
      <c r="N63" s="100"/>
    </row>
    <row r="64" spans="1:14" ht="15" customHeight="1" x14ac:dyDescent="0.25">
      <c r="A64" s="106"/>
      <c r="B64" s="34" t="s">
        <v>323</v>
      </c>
      <c r="C64" s="42"/>
      <c r="D64" s="42"/>
      <c r="E64" s="42"/>
      <c r="F64" s="42"/>
      <c r="G64" s="42"/>
      <c r="H64" s="42"/>
      <c r="I64" s="42"/>
      <c r="J64" s="42"/>
      <c r="K64" s="42"/>
      <c r="L64" s="42"/>
      <c r="M64" s="35"/>
      <c r="N64" s="100"/>
    </row>
    <row r="65" spans="1:14" x14ac:dyDescent="0.25">
      <c r="A65" s="103"/>
      <c r="B65" s="104"/>
      <c r="C65" s="104"/>
      <c r="D65" s="104"/>
      <c r="E65" s="104"/>
      <c r="F65" s="104"/>
      <c r="G65" s="104"/>
      <c r="H65" s="104"/>
      <c r="I65" s="104"/>
      <c r="J65" s="104"/>
      <c r="K65" s="104"/>
      <c r="L65" s="104"/>
      <c r="M65" s="104"/>
      <c r="N65" s="105"/>
    </row>
  </sheetData>
  <mergeCells count="63">
    <mergeCell ref="E7:F7"/>
    <mergeCell ref="B2:M2"/>
    <mergeCell ref="E10:F10"/>
    <mergeCell ref="H5:H21"/>
    <mergeCell ref="J5:M5"/>
    <mergeCell ref="B4:F4"/>
    <mergeCell ref="E5:F5"/>
    <mergeCell ref="E8:F8"/>
    <mergeCell ref="E6:F6"/>
    <mergeCell ref="E9:F9"/>
    <mergeCell ref="E11:F11"/>
    <mergeCell ref="E12:F12"/>
    <mergeCell ref="E13:F13"/>
    <mergeCell ref="E16:F16"/>
    <mergeCell ref="E17:F17"/>
    <mergeCell ref="E18:F18"/>
    <mergeCell ref="E27:F27"/>
    <mergeCell ref="E19:F19"/>
    <mergeCell ref="E20:F20"/>
    <mergeCell ref="E21:F21"/>
    <mergeCell ref="E15:F15"/>
    <mergeCell ref="B23:F23"/>
    <mergeCell ref="L23:M23"/>
    <mergeCell ref="E25:F25"/>
    <mergeCell ref="L25:M25"/>
    <mergeCell ref="E26:F26"/>
    <mergeCell ref="C47:D47"/>
    <mergeCell ref="E33:F33"/>
    <mergeCell ref="E38:F38"/>
    <mergeCell ref="E39:F39"/>
    <mergeCell ref="E28:F28"/>
    <mergeCell ref="E29:F29"/>
    <mergeCell ref="E30:F30"/>
    <mergeCell ref="B42:M43"/>
    <mergeCell ref="E40:F40"/>
    <mergeCell ref="C45:D45"/>
    <mergeCell ref="C46:D46"/>
    <mergeCell ref="L30:M30"/>
    <mergeCell ref="E31:F31"/>
    <mergeCell ref="E32:F32"/>
    <mergeCell ref="B41:M41"/>
    <mergeCell ref="C61:E61"/>
    <mergeCell ref="C62:E62"/>
    <mergeCell ref="G45:L45"/>
    <mergeCell ref="G46:I46"/>
    <mergeCell ref="J46:L46"/>
    <mergeCell ref="G47:I47"/>
    <mergeCell ref="J47:L47"/>
    <mergeCell ref="G48:I48"/>
    <mergeCell ref="J48:L48"/>
    <mergeCell ref="G49:I49"/>
    <mergeCell ref="J49:L49"/>
    <mergeCell ref="G50:I50"/>
    <mergeCell ref="J50:L50"/>
    <mergeCell ref="G51:I51"/>
    <mergeCell ref="J51:L51"/>
    <mergeCell ref="C63:E63"/>
    <mergeCell ref="C48:D48"/>
    <mergeCell ref="C49:D49"/>
    <mergeCell ref="C50:D50"/>
    <mergeCell ref="C51:D51"/>
    <mergeCell ref="C59:E59"/>
    <mergeCell ref="C60:E60"/>
  </mergeCells>
  <conditionalFormatting sqref="C33">
    <cfRule type="cellIs" dxfId="26" priority="3" operator="lessThan">
      <formula>#REF!</formula>
    </cfRule>
  </conditionalFormatting>
  <conditionalFormatting sqref="C39">
    <cfRule type="cellIs" dxfId="25" priority="8" operator="lessThan">
      <formula>$C$6+C7</formula>
    </cfRule>
  </conditionalFormatting>
  <hyperlinks>
    <hyperlink ref="O1" location="Index!A1" display="INDEX"/>
  </hyperlinks>
  <pageMargins left="0.7" right="0.7" top="0.75" bottom="0.75" header="0.3" footer="0.3"/>
  <pageSetup paperSize="8"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66"/>
  <sheetViews>
    <sheetView topLeftCell="A19" workbookViewId="0">
      <selection activeCell="C33" sqref="C33"/>
    </sheetView>
  </sheetViews>
  <sheetFormatPr defaultRowHeight="15" x14ac:dyDescent="0.25"/>
  <cols>
    <col min="1" max="1" width="3.140625" style="16" customWidth="1"/>
    <col min="2" max="2" width="9.140625" style="16"/>
    <col min="3" max="3" width="8.85546875" style="16" customWidth="1"/>
    <col min="4" max="4" width="8.28515625" style="16" bestFit="1" customWidth="1"/>
    <col min="5" max="5" width="12" style="16" customWidth="1"/>
    <col min="6" max="6" width="21.42578125" style="16" customWidth="1"/>
    <col min="7" max="7" width="3.42578125" style="16" customWidth="1"/>
    <col min="8" max="8" width="6" style="16" customWidth="1"/>
    <col min="9" max="9" width="4.28515625" style="16" customWidth="1"/>
    <col min="10" max="10" width="9.140625" style="16"/>
    <col min="11" max="11" width="2.7109375" style="16" customWidth="1"/>
    <col min="12" max="12" width="13.5703125" style="16" bestFit="1" customWidth="1"/>
    <col min="13" max="13" width="18.7109375" style="16" bestFit="1" customWidth="1"/>
    <col min="14" max="14" width="2.85546875" style="16" customWidth="1"/>
    <col min="15" max="15" width="18.7109375" style="16" bestFit="1" customWidth="1"/>
    <col min="16" max="16384" width="9.140625" style="16"/>
  </cols>
  <sheetData>
    <row r="1" spans="1:15" x14ac:dyDescent="0.25">
      <c r="A1" s="97"/>
      <c r="B1" s="98"/>
      <c r="C1" s="98"/>
      <c r="D1" s="98"/>
      <c r="E1" s="98"/>
      <c r="F1" s="98"/>
      <c r="G1" s="98"/>
      <c r="H1" s="98"/>
      <c r="I1" s="98"/>
      <c r="J1" s="98"/>
      <c r="K1" s="98"/>
      <c r="L1" s="98"/>
      <c r="M1" s="98"/>
      <c r="N1" s="99"/>
      <c r="O1" s="167" t="s">
        <v>426</v>
      </c>
    </row>
    <row r="2" spans="1:15" ht="21" x14ac:dyDescent="0.25">
      <c r="A2" s="106"/>
      <c r="B2" s="238" t="s">
        <v>237</v>
      </c>
      <c r="C2" s="239"/>
      <c r="D2" s="239"/>
      <c r="E2" s="239"/>
      <c r="F2" s="239"/>
      <c r="G2" s="239"/>
      <c r="H2" s="239"/>
      <c r="I2" s="239"/>
      <c r="J2" s="239"/>
      <c r="K2" s="239"/>
      <c r="L2" s="239"/>
      <c r="M2" s="240"/>
      <c r="N2" s="100"/>
    </row>
    <row r="3" spans="1:15" x14ac:dyDescent="0.25">
      <c r="A3" s="106"/>
      <c r="B3" s="22"/>
      <c r="C3" s="21"/>
      <c r="D3" s="21"/>
      <c r="E3" s="21"/>
      <c r="F3" s="21"/>
      <c r="G3" s="21"/>
      <c r="H3" s="21"/>
      <c r="I3" s="21"/>
      <c r="J3" s="21"/>
      <c r="K3" s="21"/>
      <c r="L3" s="21"/>
      <c r="M3" s="23"/>
      <c r="N3" s="100"/>
    </row>
    <row r="4" spans="1:15" x14ac:dyDescent="0.25">
      <c r="A4" s="106"/>
      <c r="B4" s="230" t="s">
        <v>59</v>
      </c>
      <c r="C4" s="230"/>
      <c r="D4" s="230"/>
      <c r="E4" s="230"/>
      <c r="F4" s="230"/>
      <c r="G4" s="21"/>
      <c r="H4" s="21"/>
      <c r="I4" s="21"/>
      <c r="J4" s="21"/>
      <c r="K4" s="21"/>
      <c r="L4" s="21"/>
      <c r="M4" s="23"/>
      <c r="N4" s="100"/>
    </row>
    <row r="5" spans="1:15" ht="18" x14ac:dyDescent="0.25">
      <c r="A5" s="106"/>
      <c r="B5" s="17" t="s">
        <v>11</v>
      </c>
      <c r="C5" s="59">
        <v>13.5</v>
      </c>
      <c r="D5" s="18" t="s">
        <v>12</v>
      </c>
      <c r="E5" s="183" t="s">
        <v>13</v>
      </c>
      <c r="F5" s="183"/>
      <c r="G5" s="21"/>
      <c r="H5" s="209" t="s">
        <v>243</v>
      </c>
      <c r="I5" s="21"/>
      <c r="J5" s="187" t="s">
        <v>224</v>
      </c>
      <c r="K5" s="220"/>
      <c r="L5" s="220"/>
      <c r="M5" s="188"/>
      <c r="N5" s="100"/>
    </row>
    <row r="6" spans="1:15" ht="18" x14ac:dyDescent="0.25">
      <c r="A6" s="106"/>
      <c r="B6" s="17" t="s">
        <v>9</v>
      </c>
      <c r="C6" s="59">
        <v>19999</v>
      </c>
      <c r="D6" s="18" t="s">
        <v>16</v>
      </c>
      <c r="E6" s="183" t="s">
        <v>17</v>
      </c>
      <c r="F6" s="183"/>
      <c r="G6" s="21"/>
      <c r="H6" s="210"/>
      <c r="I6" s="21"/>
      <c r="J6" s="22"/>
      <c r="K6" s="21"/>
      <c r="L6" s="21"/>
      <c r="M6" s="23"/>
      <c r="N6" s="100"/>
    </row>
    <row r="7" spans="1:15" ht="18" x14ac:dyDescent="0.25">
      <c r="A7" s="106"/>
      <c r="B7" s="17" t="s">
        <v>139</v>
      </c>
      <c r="C7" s="59">
        <v>1</v>
      </c>
      <c r="D7" s="18" t="s">
        <v>16</v>
      </c>
      <c r="E7" s="183" t="s">
        <v>140</v>
      </c>
      <c r="F7" s="183"/>
      <c r="G7" s="21"/>
      <c r="H7" s="210"/>
      <c r="I7" s="21"/>
      <c r="J7" s="22"/>
      <c r="K7" s="21"/>
      <c r="L7" s="21"/>
      <c r="M7" s="23"/>
      <c r="N7" s="100"/>
    </row>
    <row r="8" spans="1:15" x14ac:dyDescent="0.25">
      <c r="A8" s="106"/>
      <c r="B8" s="17" t="s">
        <v>14</v>
      </c>
      <c r="C8" s="74">
        <v>0.75</v>
      </c>
      <c r="D8" s="18"/>
      <c r="E8" s="183" t="s">
        <v>15</v>
      </c>
      <c r="F8" s="183"/>
      <c r="G8" s="21"/>
      <c r="H8" s="210"/>
      <c r="I8" s="21"/>
      <c r="J8" s="22"/>
      <c r="K8" s="21"/>
      <c r="L8" s="21"/>
      <c r="M8" s="23"/>
      <c r="N8" s="100"/>
    </row>
    <row r="9" spans="1:15" ht="18" x14ac:dyDescent="0.25">
      <c r="A9" s="106"/>
      <c r="B9" s="17" t="s">
        <v>244</v>
      </c>
      <c r="C9" s="75">
        <v>50</v>
      </c>
      <c r="D9" s="18" t="s">
        <v>19</v>
      </c>
      <c r="E9" s="183" t="s">
        <v>18</v>
      </c>
      <c r="F9" s="183"/>
      <c r="G9" s="21"/>
      <c r="H9" s="210"/>
      <c r="I9" s="21"/>
      <c r="J9" s="22"/>
      <c r="K9" s="21"/>
      <c r="L9" s="21"/>
      <c r="M9" s="23"/>
      <c r="N9" s="100"/>
    </row>
    <row r="10" spans="1:15" ht="18" x14ac:dyDescent="0.25">
      <c r="A10" s="106"/>
      <c r="B10" s="17" t="s">
        <v>157</v>
      </c>
      <c r="C10" s="19">
        <f>(141.5/(131.5+C9))</f>
        <v>0.77961432506887052</v>
      </c>
      <c r="D10" s="18"/>
      <c r="E10" s="183" t="s">
        <v>143</v>
      </c>
      <c r="F10" s="183"/>
      <c r="G10" s="21"/>
      <c r="H10" s="210"/>
      <c r="I10" s="21"/>
      <c r="J10" s="22"/>
      <c r="K10" s="21"/>
      <c r="L10" s="21"/>
      <c r="M10" s="23"/>
      <c r="N10" s="100"/>
    </row>
    <row r="11" spans="1:15" x14ac:dyDescent="0.25">
      <c r="A11" s="106"/>
      <c r="B11" s="17" t="s">
        <v>3</v>
      </c>
      <c r="C11" s="59">
        <v>106</v>
      </c>
      <c r="D11" s="18" t="s">
        <v>20</v>
      </c>
      <c r="E11" s="183" t="s">
        <v>21</v>
      </c>
      <c r="F11" s="183"/>
      <c r="G11" s="21"/>
      <c r="H11" s="210"/>
      <c r="I11" s="21"/>
      <c r="J11" s="88"/>
      <c r="K11" s="21"/>
      <c r="L11" s="21"/>
      <c r="M11" s="23"/>
      <c r="N11" s="100"/>
    </row>
    <row r="12" spans="1:15" ht="17.25" x14ac:dyDescent="0.25">
      <c r="A12" s="106"/>
      <c r="B12" s="17" t="s">
        <v>245</v>
      </c>
      <c r="C12" s="59">
        <v>65</v>
      </c>
      <c r="D12" s="18" t="s">
        <v>23</v>
      </c>
      <c r="E12" s="183" t="s">
        <v>22</v>
      </c>
      <c r="F12" s="183"/>
      <c r="G12" s="21"/>
      <c r="H12" s="210"/>
      <c r="I12" s="21"/>
      <c r="J12" s="22"/>
      <c r="K12" s="21"/>
      <c r="L12" s="21"/>
      <c r="M12" s="23"/>
      <c r="N12" s="100"/>
    </row>
    <row r="13" spans="1:15" ht="17.25" x14ac:dyDescent="0.25">
      <c r="A13" s="106"/>
      <c r="B13" s="17" t="s">
        <v>4</v>
      </c>
      <c r="C13" s="20">
        <f>C12+459.67</f>
        <v>524.67000000000007</v>
      </c>
      <c r="D13" s="18" t="s">
        <v>24</v>
      </c>
      <c r="E13" s="183" t="s">
        <v>22</v>
      </c>
      <c r="F13" s="183"/>
      <c r="G13" s="21"/>
      <c r="H13" s="210"/>
      <c r="I13" s="21"/>
      <c r="J13" s="22"/>
      <c r="K13" s="21"/>
      <c r="L13" s="21"/>
      <c r="M13" s="23"/>
      <c r="N13" s="100"/>
    </row>
    <row r="14" spans="1:15" x14ac:dyDescent="0.25">
      <c r="A14" s="106"/>
      <c r="B14" s="17" t="s">
        <v>225</v>
      </c>
      <c r="C14" s="76">
        <v>150</v>
      </c>
      <c r="D14" s="18" t="s">
        <v>226</v>
      </c>
      <c r="E14" s="43" t="s">
        <v>227</v>
      </c>
      <c r="F14" s="68"/>
      <c r="G14" s="21"/>
      <c r="H14" s="210"/>
      <c r="I14" s="21"/>
      <c r="J14" s="22"/>
      <c r="K14" s="21"/>
      <c r="L14" s="21"/>
      <c r="M14" s="23"/>
      <c r="N14" s="100"/>
    </row>
    <row r="15" spans="1:15" x14ac:dyDescent="0.25">
      <c r="A15" s="106"/>
      <c r="B15" s="17" t="s">
        <v>125</v>
      </c>
      <c r="C15" s="59">
        <v>15</v>
      </c>
      <c r="D15" s="18" t="s">
        <v>57</v>
      </c>
      <c r="E15" s="183" t="s">
        <v>126</v>
      </c>
      <c r="F15" s="183"/>
      <c r="G15" s="21"/>
      <c r="H15" s="210"/>
      <c r="I15" s="21"/>
      <c r="J15" s="22"/>
      <c r="K15" s="21"/>
      <c r="L15" s="21"/>
      <c r="M15" s="23"/>
      <c r="N15" s="100"/>
    </row>
    <row r="16" spans="1:15" ht="18" x14ac:dyDescent="0.25">
      <c r="A16" s="106"/>
      <c r="B16" s="17" t="s">
        <v>145</v>
      </c>
      <c r="C16" s="59">
        <v>5</v>
      </c>
      <c r="D16" s="18" t="s">
        <v>25</v>
      </c>
      <c r="E16" s="183" t="s">
        <v>238</v>
      </c>
      <c r="F16" s="183"/>
      <c r="G16" s="21"/>
      <c r="H16" s="210"/>
      <c r="I16" s="21"/>
      <c r="J16" s="22"/>
      <c r="K16" s="21"/>
      <c r="L16" s="21"/>
      <c r="M16" s="23"/>
      <c r="N16" s="100"/>
    </row>
    <row r="17" spans="1:15" ht="18" x14ac:dyDescent="0.25">
      <c r="A17" s="106"/>
      <c r="B17" s="17" t="s">
        <v>146</v>
      </c>
      <c r="C17" s="59">
        <v>5</v>
      </c>
      <c r="D17" s="18" t="s">
        <v>25</v>
      </c>
      <c r="E17" s="183" t="s">
        <v>239</v>
      </c>
      <c r="F17" s="183"/>
      <c r="G17" s="21"/>
      <c r="H17" s="210"/>
      <c r="I17" s="21"/>
      <c r="J17" s="22"/>
      <c r="K17" s="21"/>
      <c r="L17" s="21"/>
      <c r="M17" s="23"/>
      <c r="N17" s="100"/>
    </row>
    <row r="18" spans="1:15" x14ac:dyDescent="0.25">
      <c r="A18" s="106"/>
      <c r="B18" s="17" t="s">
        <v>5</v>
      </c>
      <c r="C18" s="59">
        <v>0.03</v>
      </c>
      <c r="D18" s="18"/>
      <c r="E18" s="183" t="s">
        <v>28</v>
      </c>
      <c r="F18" s="183"/>
      <c r="G18" s="21"/>
      <c r="H18" s="210"/>
      <c r="I18" s="21"/>
      <c r="J18" s="22"/>
      <c r="K18" s="21"/>
      <c r="L18" s="21"/>
      <c r="M18" s="23"/>
      <c r="N18" s="100"/>
    </row>
    <row r="19" spans="1:15" ht="18" x14ac:dyDescent="0.25">
      <c r="A19" s="106"/>
      <c r="B19" s="17" t="s">
        <v>8</v>
      </c>
      <c r="C19" s="59">
        <v>0.81</v>
      </c>
      <c r="D19" s="18" t="s">
        <v>29</v>
      </c>
      <c r="E19" s="183" t="s">
        <v>30</v>
      </c>
      <c r="F19" s="183"/>
      <c r="G19" s="21"/>
      <c r="H19" s="210"/>
      <c r="I19" s="21"/>
      <c r="J19" s="22"/>
      <c r="K19" s="21"/>
      <c r="L19" s="107"/>
      <c r="M19" s="23"/>
      <c r="N19" s="100"/>
    </row>
    <row r="20" spans="1:15" x14ac:dyDescent="0.25">
      <c r="A20" s="106"/>
      <c r="B20" s="17" t="s">
        <v>72</v>
      </c>
      <c r="C20" s="74">
        <v>0.35</v>
      </c>
      <c r="D20" s="18" t="s">
        <v>39</v>
      </c>
      <c r="E20" s="183" t="s">
        <v>99</v>
      </c>
      <c r="F20" s="183"/>
      <c r="G20" s="21"/>
      <c r="H20" s="210"/>
      <c r="I20" s="21"/>
      <c r="J20" s="22"/>
      <c r="K20" s="21"/>
      <c r="L20" s="21"/>
      <c r="M20" s="23"/>
      <c r="N20" s="100"/>
    </row>
    <row r="21" spans="1:15" ht="18" x14ac:dyDescent="0.25">
      <c r="A21" s="106"/>
      <c r="B21" s="17" t="s">
        <v>129</v>
      </c>
      <c r="C21" s="77">
        <v>0.5</v>
      </c>
      <c r="D21" s="18"/>
      <c r="E21" s="183" t="s">
        <v>101</v>
      </c>
      <c r="F21" s="183"/>
      <c r="G21" s="21"/>
      <c r="H21" s="211"/>
      <c r="I21" s="21"/>
      <c r="J21" s="26"/>
      <c r="K21" s="27"/>
      <c r="L21" s="27"/>
      <c r="M21" s="28"/>
      <c r="N21" s="100"/>
    </row>
    <row r="22" spans="1:15" x14ac:dyDescent="0.25">
      <c r="A22" s="106"/>
      <c r="B22" s="85"/>
      <c r="C22" s="21"/>
      <c r="D22" s="21"/>
      <c r="E22" s="229"/>
      <c r="F22" s="229"/>
      <c r="G22" s="21"/>
      <c r="H22" s="21"/>
      <c r="I22" s="21"/>
      <c r="J22" s="21"/>
      <c r="K22" s="21"/>
      <c r="L22" s="21"/>
      <c r="M22" s="23"/>
      <c r="N22" s="100"/>
    </row>
    <row r="23" spans="1:15" x14ac:dyDescent="0.25">
      <c r="A23" s="106"/>
      <c r="B23" s="195" t="s">
        <v>60</v>
      </c>
      <c r="C23" s="195"/>
      <c r="D23" s="195"/>
      <c r="E23" s="195"/>
      <c r="F23" s="195"/>
      <c r="G23" s="21"/>
      <c r="H23" s="72" t="s">
        <v>61</v>
      </c>
      <c r="I23" s="71"/>
      <c r="J23" s="70"/>
      <c r="K23" s="21"/>
      <c r="L23" s="187" t="s">
        <v>85</v>
      </c>
      <c r="M23" s="188"/>
      <c r="N23" s="100"/>
      <c r="O23" s="60"/>
    </row>
    <row r="24" spans="1:15" x14ac:dyDescent="0.25">
      <c r="A24" s="106"/>
      <c r="B24" s="86" t="s">
        <v>26</v>
      </c>
      <c r="C24" s="21" t="s">
        <v>27</v>
      </c>
      <c r="D24" s="21"/>
      <c r="E24" s="87"/>
      <c r="F24" s="87"/>
      <c r="G24" s="21"/>
      <c r="H24" s="22"/>
      <c r="I24" s="21"/>
      <c r="J24" s="23"/>
      <c r="K24" s="21"/>
      <c r="L24" s="22"/>
      <c r="M24" s="23"/>
      <c r="N24" s="100"/>
    </row>
    <row r="25" spans="1:15" ht="18" x14ac:dyDescent="0.25">
      <c r="A25" s="106"/>
      <c r="B25" s="17" t="s">
        <v>0</v>
      </c>
      <c r="C25" s="24">
        <f>2.7*C8*C11/C13/C18</f>
        <v>13.637143347246841</v>
      </c>
      <c r="D25" s="18" t="s">
        <v>31</v>
      </c>
      <c r="E25" s="183" t="s">
        <v>69</v>
      </c>
      <c r="F25" s="183"/>
      <c r="G25" s="21"/>
      <c r="H25" s="22"/>
      <c r="I25" s="21"/>
      <c r="J25" s="23"/>
      <c r="K25" s="21"/>
      <c r="L25" s="227" t="s">
        <v>97</v>
      </c>
      <c r="M25" s="228"/>
      <c r="N25" s="100"/>
    </row>
    <row r="26" spans="1:15" ht="30" x14ac:dyDescent="0.25">
      <c r="A26" s="106"/>
      <c r="B26" s="17" t="s">
        <v>32</v>
      </c>
      <c r="C26" s="24">
        <f>62.4*C10</f>
        <v>48.647933884297522</v>
      </c>
      <c r="D26" s="18" t="s">
        <v>31</v>
      </c>
      <c r="E26" s="183" t="s">
        <v>70</v>
      </c>
      <c r="F26" s="183"/>
      <c r="G26" s="21"/>
      <c r="H26" s="22"/>
      <c r="I26" s="21"/>
      <c r="J26" s="23"/>
      <c r="K26" s="21"/>
      <c r="L26" s="69" t="s">
        <v>405</v>
      </c>
      <c r="M26" s="33" t="s">
        <v>133</v>
      </c>
      <c r="N26" s="100"/>
    </row>
    <row r="27" spans="1:15" x14ac:dyDescent="0.25">
      <c r="A27" s="106"/>
      <c r="B27" s="22"/>
      <c r="C27" s="21"/>
      <c r="D27" s="21"/>
      <c r="E27" s="229"/>
      <c r="F27" s="229"/>
      <c r="G27" s="21"/>
      <c r="H27" s="22"/>
      <c r="I27" s="21"/>
      <c r="J27" s="23"/>
      <c r="K27" s="21"/>
      <c r="L27" s="67">
        <v>10</v>
      </c>
      <c r="M27" s="67" t="s">
        <v>122</v>
      </c>
      <c r="N27" s="100"/>
    </row>
    <row r="28" spans="1:15" ht="17.25" x14ac:dyDescent="0.25">
      <c r="A28" s="106"/>
      <c r="B28" s="86" t="s">
        <v>33</v>
      </c>
      <c r="C28" s="21"/>
      <c r="D28" s="21"/>
      <c r="E28" s="229"/>
      <c r="F28" s="229"/>
      <c r="G28" s="21"/>
      <c r="H28" s="22"/>
      <c r="I28" s="21"/>
      <c r="J28" s="23"/>
      <c r="K28" s="21"/>
      <c r="L28" s="67" t="s">
        <v>123</v>
      </c>
      <c r="M28" s="67" t="s">
        <v>124</v>
      </c>
      <c r="N28" s="100"/>
    </row>
    <row r="29" spans="1:15" ht="18" x14ac:dyDescent="0.25">
      <c r="A29" s="106"/>
      <c r="B29" s="18" t="s">
        <v>71</v>
      </c>
      <c r="C29" s="25">
        <f>C20*SQRT((C26-C25)/C25)</f>
        <v>0.5607990898497659</v>
      </c>
      <c r="D29" s="18" t="s">
        <v>39</v>
      </c>
      <c r="E29" s="183"/>
      <c r="F29" s="183"/>
      <c r="G29" s="21"/>
      <c r="H29" s="22"/>
      <c r="I29" s="21"/>
      <c r="J29" s="23"/>
      <c r="K29" s="21"/>
      <c r="L29" s="14"/>
      <c r="M29" s="15"/>
      <c r="N29" s="100"/>
    </row>
    <row r="30" spans="1:15" ht="18" x14ac:dyDescent="0.25">
      <c r="A30" s="106"/>
      <c r="B30" s="18" t="s">
        <v>73</v>
      </c>
      <c r="C30" s="19">
        <f>C5*1000000*C14/379.5/86400/C25</f>
        <v>4.5287265601047393</v>
      </c>
      <c r="D30" s="18" t="s">
        <v>77</v>
      </c>
      <c r="E30" s="183" t="s">
        <v>74</v>
      </c>
      <c r="F30" s="183"/>
      <c r="G30" s="21"/>
      <c r="H30" s="22"/>
      <c r="I30" s="21"/>
      <c r="J30" s="23"/>
      <c r="K30" s="21"/>
      <c r="L30" s="227" t="s">
        <v>98</v>
      </c>
      <c r="M30" s="228"/>
      <c r="N30" s="100"/>
    </row>
    <row r="31" spans="1:15" ht="30" x14ac:dyDescent="0.25">
      <c r="A31" s="106"/>
      <c r="B31" s="18" t="s">
        <v>75</v>
      </c>
      <c r="C31" s="19">
        <f>C30/C29</f>
        <v>8.0754884272689402</v>
      </c>
      <c r="D31" s="18" t="s">
        <v>76</v>
      </c>
      <c r="E31" s="183" t="s">
        <v>78</v>
      </c>
      <c r="F31" s="183"/>
      <c r="G31" s="21"/>
      <c r="H31" s="22"/>
      <c r="I31" s="21"/>
      <c r="J31" s="23"/>
      <c r="K31" s="21"/>
      <c r="L31" s="69" t="s">
        <v>91</v>
      </c>
      <c r="M31" s="33" t="s">
        <v>109</v>
      </c>
      <c r="N31" s="100"/>
    </row>
    <row r="32" spans="1:15" ht="18" x14ac:dyDescent="0.25">
      <c r="A32" s="106"/>
      <c r="B32" s="52" t="s">
        <v>228</v>
      </c>
      <c r="C32" s="73">
        <v>10.312776579001838</v>
      </c>
      <c r="D32" s="52" t="s">
        <v>48</v>
      </c>
      <c r="E32" s="190" t="s">
        <v>36</v>
      </c>
      <c r="F32" s="190"/>
      <c r="G32" s="21"/>
      <c r="H32" s="22"/>
      <c r="I32" s="21"/>
      <c r="J32" s="23"/>
      <c r="K32" s="21"/>
      <c r="L32" s="67" t="s">
        <v>92</v>
      </c>
      <c r="M32" s="58" t="s">
        <v>216</v>
      </c>
      <c r="N32" s="100"/>
    </row>
    <row r="33" spans="1:15" ht="18" x14ac:dyDescent="0.25">
      <c r="A33" s="106"/>
      <c r="B33" s="52" t="s">
        <v>229</v>
      </c>
      <c r="C33" s="54">
        <f>(C32/2)*ACOS((C32/2-C32*C21)/(C32/2))-((C32/2-C32*C21)*SQRT(2*C32/2*C32*C21-(C32*C21)^2))/12/12</f>
        <v>8.0996357846762628</v>
      </c>
      <c r="D33" s="52" t="s">
        <v>230</v>
      </c>
      <c r="E33" s="190"/>
      <c r="F33" s="190"/>
      <c r="G33" s="21"/>
      <c r="H33" s="22"/>
      <c r="I33" s="21"/>
      <c r="J33" s="23"/>
      <c r="K33" s="21"/>
      <c r="L33" s="64" t="s">
        <v>217</v>
      </c>
      <c r="M33" s="61"/>
      <c r="N33" s="100"/>
    </row>
    <row r="34" spans="1:15" ht="32.25" customHeight="1" x14ac:dyDescent="0.25">
      <c r="A34" s="106"/>
      <c r="B34" s="52" t="s">
        <v>42</v>
      </c>
      <c r="C34" s="54">
        <f>(C31-C33)^2</f>
        <v>5.8309486975697503E-4</v>
      </c>
      <c r="D34" s="2"/>
      <c r="E34" s="183" t="s">
        <v>441</v>
      </c>
      <c r="F34" s="183"/>
      <c r="G34" s="21"/>
      <c r="H34" s="22"/>
      <c r="I34" s="21"/>
      <c r="J34" s="23"/>
      <c r="K34" s="21"/>
      <c r="L34" s="62" t="s">
        <v>219</v>
      </c>
      <c r="M34" s="65" t="s">
        <v>218</v>
      </c>
      <c r="N34" s="100"/>
    </row>
    <row r="35" spans="1:15" ht="36.75" customHeight="1" x14ac:dyDescent="0.25">
      <c r="A35" s="106"/>
      <c r="B35" s="132" t="s">
        <v>319</v>
      </c>
      <c r="C35" s="133">
        <v>120</v>
      </c>
      <c r="D35" s="132" t="s">
        <v>48</v>
      </c>
      <c r="E35" s="241" t="s">
        <v>321</v>
      </c>
      <c r="F35" s="242"/>
      <c r="G35" s="21"/>
      <c r="H35" s="22"/>
      <c r="I35" s="21"/>
      <c r="J35" s="23"/>
      <c r="K35" s="21"/>
      <c r="L35" s="62" t="s">
        <v>220</v>
      </c>
      <c r="M35" s="65" t="s">
        <v>222</v>
      </c>
      <c r="N35" s="100"/>
    </row>
    <row r="36" spans="1:15" ht="17.25" x14ac:dyDescent="0.25">
      <c r="A36" s="106"/>
      <c r="B36" s="132" t="s">
        <v>125</v>
      </c>
      <c r="C36" s="136">
        <v>30</v>
      </c>
      <c r="D36" s="132" t="s">
        <v>57</v>
      </c>
      <c r="E36" s="233" t="s">
        <v>320</v>
      </c>
      <c r="F36" s="234"/>
      <c r="G36" s="21"/>
      <c r="H36" s="22"/>
      <c r="I36" s="21"/>
      <c r="J36" s="23"/>
      <c r="K36" s="21"/>
      <c r="L36" s="63" t="s">
        <v>221</v>
      </c>
      <c r="M36" s="66" t="s">
        <v>223</v>
      </c>
      <c r="N36" s="100"/>
    </row>
    <row r="37" spans="1:15" x14ac:dyDescent="0.25">
      <c r="A37" s="106"/>
      <c r="B37" s="132" t="s">
        <v>385</v>
      </c>
      <c r="C37" s="151">
        <f>C36*12/C35</f>
        <v>3</v>
      </c>
      <c r="D37" s="78" t="s">
        <v>280</v>
      </c>
      <c r="E37" s="233" t="s">
        <v>281</v>
      </c>
      <c r="F37" s="234"/>
      <c r="G37" s="21"/>
      <c r="H37" s="22"/>
      <c r="I37" s="21"/>
      <c r="J37" s="23"/>
      <c r="K37" s="21"/>
      <c r="L37" s="152"/>
      <c r="M37" s="15"/>
      <c r="N37" s="100"/>
    </row>
    <row r="38" spans="1:15" x14ac:dyDescent="0.25">
      <c r="A38" s="106"/>
      <c r="B38" s="22"/>
      <c r="C38" s="21"/>
      <c r="D38" s="21"/>
      <c r="E38" s="229"/>
      <c r="F38" s="229"/>
      <c r="G38" s="21"/>
      <c r="H38" s="22"/>
      <c r="I38" s="21"/>
      <c r="J38" s="23"/>
      <c r="K38" s="21"/>
      <c r="M38" s="23"/>
      <c r="N38" s="100"/>
    </row>
    <row r="39" spans="1:15" x14ac:dyDescent="0.25">
      <c r="A39" s="106"/>
      <c r="B39" s="86" t="s">
        <v>44</v>
      </c>
      <c r="C39" s="21"/>
      <c r="D39" s="21"/>
      <c r="E39" s="87"/>
      <c r="F39" s="87"/>
      <c r="G39" s="21"/>
      <c r="H39" s="26"/>
      <c r="I39" s="27"/>
      <c r="J39" s="28"/>
      <c r="K39" s="21"/>
      <c r="L39" s="21"/>
      <c r="M39" s="23"/>
      <c r="N39" s="100"/>
      <c r="O39" s="21"/>
    </row>
    <row r="40" spans="1:15" ht="30.75" customHeight="1" x14ac:dyDescent="0.25">
      <c r="A40" s="106"/>
      <c r="B40" s="18" t="s">
        <v>81</v>
      </c>
      <c r="C40" s="20">
        <f>((C35/12/2)^2*ACOS((C35/12/2-C35/12*C21)/(C35/12/2))-((C35/12/2)-(C35/12*C21)*SQRT((2*C35/12/2*C35/12*C21-(C35/12*C21)^2))))*(C15)*0.17811</f>
        <v>158.34845016203963</v>
      </c>
      <c r="D40" s="18" t="s">
        <v>82</v>
      </c>
      <c r="E40" s="183" t="s">
        <v>83</v>
      </c>
      <c r="F40" s="183"/>
      <c r="G40" s="21"/>
      <c r="H40" s="21"/>
      <c r="I40" s="21"/>
      <c r="J40" s="21"/>
      <c r="K40" s="21"/>
      <c r="L40" s="101"/>
      <c r="M40" s="23"/>
      <c r="N40" s="100"/>
      <c r="O40" s="21"/>
    </row>
    <row r="41" spans="1:15" ht="49.5" customHeight="1" x14ac:dyDescent="0.25">
      <c r="A41" s="106"/>
      <c r="B41" s="18" t="s">
        <v>80</v>
      </c>
      <c r="C41" s="20">
        <f>1440*C40/(C16+C17)</f>
        <v>22802.176823333706</v>
      </c>
      <c r="D41" s="18" t="s">
        <v>84</v>
      </c>
      <c r="E41" s="183" t="str">
        <f>"Liquid capacity of separator should be more than "&amp;(C6+C7) &amp; " bpd (input value)"</f>
        <v>Liquid capacity of separator should be more than 20000 bpd (input value)</v>
      </c>
      <c r="F41" s="183"/>
      <c r="G41" s="21"/>
      <c r="H41" s="21"/>
      <c r="I41" s="21"/>
      <c r="J41" s="21"/>
      <c r="K41" s="21"/>
      <c r="L41" s="21"/>
      <c r="M41" s="23"/>
      <c r="N41" s="100"/>
    </row>
    <row r="42" spans="1:15" x14ac:dyDescent="0.25">
      <c r="A42" s="106"/>
      <c r="B42" s="22"/>
      <c r="C42" s="21"/>
      <c r="D42" s="21"/>
      <c r="E42" s="229"/>
      <c r="F42" s="229"/>
      <c r="G42" s="21"/>
      <c r="H42" s="21"/>
      <c r="I42" s="21"/>
      <c r="J42" s="21"/>
      <c r="K42" s="21"/>
      <c r="L42" s="21"/>
      <c r="M42" s="23"/>
      <c r="N42" s="100"/>
    </row>
    <row r="43" spans="1:15" x14ac:dyDescent="0.25">
      <c r="A43" s="106"/>
      <c r="B43" s="187" t="s">
        <v>132</v>
      </c>
      <c r="C43" s="220"/>
      <c r="D43" s="220"/>
      <c r="E43" s="220"/>
      <c r="F43" s="220"/>
      <c r="G43" s="220"/>
      <c r="H43" s="220"/>
      <c r="I43" s="220"/>
      <c r="J43" s="220"/>
      <c r="K43" s="220"/>
      <c r="L43" s="220"/>
      <c r="M43" s="188"/>
      <c r="N43" s="100"/>
    </row>
    <row r="44" spans="1:15" ht="15" customHeight="1" x14ac:dyDescent="0.25">
      <c r="A44" s="106"/>
      <c r="B44" s="243" t="s">
        <v>90</v>
      </c>
      <c r="C44" s="229"/>
      <c r="D44" s="229"/>
      <c r="E44" s="229"/>
      <c r="F44" s="229"/>
      <c r="G44" s="229"/>
      <c r="H44" s="229"/>
      <c r="I44" s="229"/>
      <c r="J44" s="229"/>
      <c r="K44" s="229"/>
      <c r="L44" s="229"/>
      <c r="M44" s="244"/>
      <c r="N44" s="102"/>
      <c r="O44" s="5"/>
    </row>
    <row r="45" spans="1:15" x14ac:dyDescent="0.25">
      <c r="A45" s="106"/>
      <c r="B45" s="224"/>
      <c r="C45" s="225"/>
      <c r="D45" s="225"/>
      <c r="E45" s="225"/>
      <c r="F45" s="225"/>
      <c r="G45" s="225"/>
      <c r="H45" s="225"/>
      <c r="I45" s="225"/>
      <c r="J45" s="225"/>
      <c r="K45" s="225"/>
      <c r="L45" s="225"/>
      <c r="M45" s="226"/>
      <c r="N45" s="102"/>
      <c r="O45" s="5"/>
    </row>
    <row r="46" spans="1:15" x14ac:dyDescent="0.25">
      <c r="A46" s="106"/>
      <c r="B46" s="55" t="s">
        <v>104</v>
      </c>
      <c r="C46" s="56"/>
      <c r="D46" s="56"/>
      <c r="E46" s="56"/>
      <c r="F46" s="56"/>
      <c r="G46" s="56"/>
      <c r="H46" s="56"/>
      <c r="I46" s="56"/>
      <c r="J46" s="56"/>
      <c r="K46" s="56"/>
      <c r="L46" s="56"/>
      <c r="M46" s="57"/>
      <c r="N46" s="100"/>
    </row>
    <row r="47" spans="1:15" x14ac:dyDescent="0.25">
      <c r="A47" s="106"/>
      <c r="B47" s="22"/>
      <c r="C47" s="231" t="s">
        <v>106</v>
      </c>
      <c r="D47" s="231"/>
      <c r="E47" s="69" t="s">
        <v>107</v>
      </c>
      <c r="F47" s="21"/>
      <c r="G47" s="200" t="s">
        <v>413</v>
      </c>
      <c r="H47" s="201"/>
      <c r="I47" s="201"/>
      <c r="J47" s="201"/>
      <c r="K47" s="201"/>
      <c r="L47" s="202"/>
      <c r="M47" s="23"/>
      <c r="N47" s="100"/>
    </row>
    <row r="48" spans="1:15" x14ac:dyDescent="0.25">
      <c r="A48" s="106"/>
      <c r="B48" s="30"/>
      <c r="C48" s="232">
        <v>0</v>
      </c>
      <c r="D48" s="232"/>
      <c r="E48" s="29">
        <v>0.107</v>
      </c>
      <c r="F48" s="21"/>
      <c r="G48" s="200" t="s">
        <v>411</v>
      </c>
      <c r="H48" s="201"/>
      <c r="I48" s="202"/>
      <c r="J48" s="200" t="s">
        <v>412</v>
      </c>
      <c r="K48" s="201"/>
      <c r="L48" s="202"/>
      <c r="M48" s="23"/>
      <c r="N48" s="100"/>
    </row>
    <row r="49" spans="1:14" x14ac:dyDescent="0.25">
      <c r="A49" s="106"/>
      <c r="B49" s="30"/>
      <c r="C49" s="232">
        <v>7</v>
      </c>
      <c r="D49" s="232"/>
      <c r="E49" s="29">
        <v>0.107</v>
      </c>
      <c r="F49" s="21"/>
      <c r="G49" s="203" t="s">
        <v>414</v>
      </c>
      <c r="H49" s="204"/>
      <c r="I49" s="205"/>
      <c r="J49" s="203">
        <v>100</v>
      </c>
      <c r="K49" s="204"/>
      <c r="L49" s="205"/>
      <c r="M49" s="23"/>
      <c r="N49" s="100"/>
    </row>
    <row r="50" spans="1:14" x14ac:dyDescent="0.25">
      <c r="A50" s="106"/>
      <c r="B50" s="30"/>
      <c r="C50" s="232">
        <v>21</v>
      </c>
      <c r="D50" s="232"/>
      <c r="E50" s="29">
        <v>0.10100000000000001</v>
      </c>
      <c r="F50" s="21"/>
      <c r="G50" s="203">
        <v>150</v>
      </c>
      <c r="H50" s="204"/>
      <c r="I50" s="205"/>
      <c r="J50" s="203">
        <v>90</v>
      </c>
      <c r="K50" s="204"/>
      <c r="L50" s="205"/>
      <c r="M50" s="23"/>
      <c r="N50" s="100"/>
    </row>
    <row r="51" spans="1:14" x14ac:dyDescent="0.25">
      <c r="A51" s="106"/>
      <c r="B51" s="30"/>
      <c r="C51" s="232">
        <v>42</v>
      </c>
      <c r="D51" s="232"/>
      <c r="E51" s="29">
        <v>9.1999999999999998E-2</v>
      </c>
      <c r="F51" s="21"/>
      <c r="G51" s="203">
        <v>300</v>
      </c>
      <c r="H51" s="204"/>
      <c r="I51" s="205"/>
      <c r="J51" s="203">
        <v>85</v>
      </c>
      <c r="K51" s="204"/>
      <c r="L51" s="205"/>
      <c r="M51" s="23"/>
      <c r="N51" s="100"/>
    </row>
    <row r="52" spans="1:14" x14ac:dyDescent="0.25">
      <c r="A52" s="106"/>
      <c r="B52" s="30"/>
      <c r="C52" s="232">
        <v>63</v>
      </c>
      <c r="D52" s="232"/>
      <c r="E52" s="29">
        <v>8.3000000000000004E-2</v>
      </c>
      <c r="F52" s="21"/>
      <c r="G52" s="203">
        <v>600</v>
      </c>
      <c r="H52" s="204"/>
      <c r="I52" s="205"/>
      <c r="J52" s="203">
        <v>80</v>
      </c>
      <c r="K52" s="204"/>
      <c r="L52" s="205"/>
      <c r="M52" s="23"/>
      <c r="N52" s="100"/>
    </row>
    <row r="53" spans="1:14" x14ac:dyDescent="0.25">
      <c r="A53" s="106"/>
      <c r="B53" s="30"/>
      <c r="C53" s="232">
        <v>105</v>
      </c>
      <c r="D53" s="232"/>
      <c r="E53" s="29">
        <v>6.5000000000000002E-2</v>
      </c>
      <c r="F53" s="21"/>
      <c r="G53" s="203">
        <v>1150</v>
      </c>
      <c r="H53" s="204"/>
      <c r="I53" s="205"/>
      <c r="J53" s="203">
        <v>75</v>
      </c>
      <c r="K53" s="204"/>
      <c r="L53" s="205"/>
      <c r="M53" s="23"/>
      <c r="N53" s="100"/>
    </row>
    <row r="54" spans="1:14" x14ac:dyDescent="0.25">
      <c r="A54" s="106"/>
      <c r="B54" s="22"/>
      <c r="C54" s="21"/>
      <c r="D54" s="21"/>
      <c r="E54" s="21"/>
      <c r="F54" s="21"/>
      <c r="G54" s="21"/>
      <c r="H54" s="21"/>
      <c r="I54" s="21"/>
      <c r="J54" s="21"/>
      <c r="K54" s="21"/>
      <c r="L54" s="21"/>
      <c r="M54" s="23"/>
      <c r="N54" s="100"/>
    </row>
    <row r="55" spans="1:14" x14ac:dyDescent="0.25">
      <c r="A55" s="106"/>
      <c r="B55" s="22"/>
      <c r="C55" s="31" t="s">
        <v>105</v>
      </c>
      <c r="D55" s="21"/>
      <c r="E55" s="21"/>
      <c r="F55" s="21"/>
      <c r="G55" s="21"/>
      <c r="H55" s="21"/>
      <c r="I55" s="21"/>
      <c r="J55" s="21"/>
      <c r="K55" s="21"/>
      <c r="L55" s="21"/>
      <c r="M55" s="23"/>
      <c r="N55" s="100"/>
    </row>
    <row r="56" spans="1:14" x14ac:dyDescent="0.25">
      <c r="A56" s="106"/>
      <c r="B56" s="22"/>
      <c r="C56" s="21" t="s">
        <v>233</v>
      </c>
      <c r="D56" s="21"/>
      <c r="E56" s="21"/>
      <c r="F56" s="21"/>
      <c r="G56" s="21"/>
      <c r="H56" s="21"/>
      <c r="I56" s="21"/>
      <c r="J56" s="21"/>
      <c r="K56" s="21"/>
      <c r="L56" s="21"/>
      <c r="M56" s="23"/>
      <c r="N56" s="100"/>
    </row>
    <row r="57" spans="1:14" x14ac:dyDescent="0.25">
      <c r="A57" s="106"/>
      <c r="B57" s="22"/>
      <c r="C57" s="32" t="s">
        <v>231</v>
      </c>
      <c r="D57" s="21"/>
      <c r="E57" s="21"/>
      <c r="F57" s="21"/>
      <c r="G57" s="21"/>
      <c r="H57" s="21"/>
      <c r="I57" s="21"/>
      <c r="J57" s="21"/>
      <c r="K57" s="21"/>
      <c r="L57" s="21"/>
      <c r="M57" s="23"/>
      <c r="N57" s="100"/>
    </row>
    <row r="58" spans="1:14" s="21" customFormat="1" x14ac:dyDescent="0.25">
      <c r="A58" s="106"/>
      <c r="B58" s="26"/>
      <c r="C58" s="27" t="s">
        <v>378</v>
      </c>
      <c r="D58" s="27"/>
      <c r="E58" s="27"/>
      <c r="F58" s="27"/>
      <c r="G58" s="27"/>
      <c r="H58" s="27"/>
      <c r="I58" s="27"/>
      <c r="J58" s="27"/>
      <c r="K58" s="27"/>
      <c r="L58" s="27"/>
      <c r="M58" s="28"/>
      <c r="N58" s="100"/>
    </row>
    <row r="59" spans="1:14" x14ac:dyDescent="0.25">
      <c r="A59" s="106"/>
      <c r="B59" s="55" t="s">
        <v>110</v>
      </c>
      <c r="C59" s="56"/>
      <c r="D59" s="56"/>
      <c r="E59" s="56"/>
      <c r="F59" s="56"/>
      <c r="G59" s="56"/>
      <c r="H59" s="56"/>
      <c r="I59" s="56"/>
      <c r="J59" s="56"/>
      <c r="K59" s="56"/>
      <c r="L59" s="56"/>
      <c r="M59" s="57"/>
      <c r="N59" s="100"/>
    </row>
    <row r="60" spans="1:14" ht="15" customHeight="1" x14ac:dyDescent="0.25">
      <c r="A60" s="106"/>
      <c r="B60" s="22"/>
      <c r="C60" s="235" t="s">
        <v>111</v>
      </c>
      <c r="D60" s="235"/>
      <c r="E60" s="235"/>
      <c r="F60" s="36" t="s">
        <v>112</v>
      </c>
      <c r="G60" s="21"/>
      <c r="H60" s="21"/>
      <c r="I60" s="21"/>
      <c r="J60" s="21"/>
      <c r="K60" s="21"/>
      <c r="L60" s="21"/>
      <c r="M60" s="23"/>
      <c r="N60" s="100"/>
    </row>
    <row r="61" spans="1:14" ht="15" customHeight="1" x14ac:dyDescent="0.25">
      <c r="A61" s="106"/>
      <c r="B61" s="22"/>
      <c r="C61" s="235" t="s">
        <v>116</v>
      </c>
      <c r="D61" s="235"/>
      <c r="E61" s="235"/>
      <c r="F61" s="18" t="s">
        <v>113</v>
      </c>
      <c r="G61" s="21"/>
      <c r="H61" s="21"/>
      <c r="I61" s="21"/>
      <c r="J61" s="21"/>
      <c r="K61" s="21"/>
      <c r="L61" s="21"/>
      <c r="M61" s="23"/>
      <c r="N61" s="100"/>
    </row>
    <row r="62" spans="1:14" ht="15" customHeight="1" x14ac:dyDescent="0.25">
      <c r="A62" s="106"/>
      <c r="B62" s="22"/>
      <c r="C62" s="235" t="s">
        <v>117</v>
      </c>
      <c r="D62" s="235"/>
      <c r="E62" s="235"/>
      <c r="F62" s="18" t="s">
        <v>114</v>
      </c>
      <c r="G62" s="21"/>
      <c r="H62" s="21"/>
      <c r="I62" s="21"/>
      <c r="J62" s="21"/>
      <c r="K62" s="21"/>
      <c r="L62" s="21"/>
      <c r="M62" s="23"/>
      <c r="N62" s="100"/>
    </row>
    <row r="63" spans="1:14" ht="15" customHeight="1" x14ac:dyDescent="0.25">
      <c r="A63" s="106"/>
      <c r="B63" s="22"/>
      <c r="C63" s="235" t="s">
        <v>118</v>
      </c>
      <c r="D63" s="235"/>
      <c r="E63" s="235"/>
      <c r="F63" s="18" t="s">
        <v>115</v>
      </c>
      <c r="G63" s="21"/>
      <c r="H63" s="21"/>
      <c r="I63" s="21"/>
      <c r="J63" s="21"/>
      <c r="K63" s="21"/>
      <c r="L63" s="21"/>
      <c r="M63" s="23"/>
      <c r="N63" s="100"/>
    </row>
    <row r="64" spans="1:14" ht="15" customHeight="1" x14ac:dyDescent="0.25">
      <c r="A64" s="106"/>
      <c r="B64" s="26"/>
      <c r="C64" s="235" t="s">
        <v>119</v>
      </c>
      <c r="D64" s="235"/>
      <c r="E64" s="235"/>
      <c r="F64" s="18" t="s">
        <v>120</v>
      </c>
      <c r="G64" s="27"/>
      <c r="H64" s="27"/>
      <c r="I64" s="27"/>
      <c r="J64" s="27"/>
      <c r="K64" s="27"/>
      <c r="L64" s="27"/>
      <c r="M64" s="28"/>
      <c r="N64" s="100"/>
    </row>
    <row r="65" spans="1:14" ht="15" customHeight="1" x14ac:dyDescent="0.25">
      <c r="A65" s="106"/>
      <c r="B65" s="34" t="s">
        <v>137</v>
      </c>
      <c r="C65" s="42"/>
      <c r="D65" s="42"/>
      <c r="E65" s="42"/>
      <c r="F65" s="42"/>
      <c r="G65" s="42"/>
      <c r="H65" s="42"/>
      <c r="I65" s="42"/>
      <c r="J65" s="42"/>
      <c r="K65" s="42"/>
      <c r="L65" s="42"/>
      <c r="M65" s="35"/>
      <c r="N65" s="100"/>
    </row>
    <row r="66" spans="1:14" x14ac:dyDescent="0.25">
      <c r="A66" s="103"/>
      <c r="B66" s="104"/>
      <c r="C66" s="104"/>
      <c r="D66" s="104"/>
      <c r="E66" s="104"/>
      <c r="F66" s="104"/>
      <c r="G66" s="104"/>
      <c r="H66" s="104"/>
      <c r="I66" s="104"/>
      <c r="J66" s="104"/>
      <c r="K66" s="104"/>
      <c r="L66" s="104"/>
      <c r="M66" s="104"/>
      <c r="N66" s="105"/>
    </row>
  </sheetData>
  <mergeCells count="69">
    <mergeCell ref="C64:E64"/>
    <mergeCell ref="E17:F17"/>
    <mergeCell ref="E7:F7"/>
    <mergeCell ref="C52:D52"/>
    <mergeCell ref="C53:D53"/>
    <mergeCell ref="C60:E60"/>
    <mergeCell ref="C61:E61"/>
    <mergeCell ref="C62:E62"/>
    <mergeCell ref="C63:E63"/>
    <mergeCell ref="C47:D47"/>
    <mergeCell ref="C48:D48"/>
    <mergeCell ref="C49:D49"/>
    <mergeCell ref="C50:D50"/>
    <mergeCell ref="C51:D51"/>
    <mergeCell ref="E40:F40"/>
    <mergeCell ref="E41:F41"/>
    <mergeCell ref="B2:M2"/>
    <mergeCell ref="B43:M43"/>
    <mergeCell ref="E34:F34"/>
    <mergeCell ref="E25:F25"/>
    <mergeCell ref="L25:M25"/>
    <mergeCell ref="E26:F26"/>
    <mergeCell ref="E27:F27"/>
    <mergeCell ref="E28:F28"/>
    <mergeCell ref="E29:F29"/>
    <mergeCell ref="E30:F30"/>
    <mergeCell ref="L30:M30"/>
    <mergeCell ref="E31:F31"/>
    <mergeCell ref="E32:F32"/>
    <mergeCell ref="E33:F33"/>
    <mergeCell ref="L23:M23"/>
    <mergeCell ref="E11:F11"/>
    <mergeCell ref="E22:F22"/>
    <mergeCell ref="B23:F23"/>
    <mergeCell ref="E12:F12"/>
    <mergeCell ref="E13:F13"/>
    <mergeCell ref="E16:F16"/>
    <mergeCell ref="E18:F18"/>
    <mergeCell ref="E19:F19"/>
    <mergeCell ref="H5:H21"/>
    <mergeCell ref="J5:M5"/>
    <mergeCell ref="E10:F10"/>
    <mergeCell ref="B4:F4"/>
    <mergeCell ref="E5:F5"/>
    <mergeCell ref="E8:F8"/>
    <mergeCell ref="E6:F6"/>
    <mergeCell ref="E9:F9"/>
    <mergeCell ref="E20:F20"/>
    <mergeCell ref="E21:F21"/>
    <mergeCell ref="E15:F15"/>
    <mergeCell ref="E36:F36"/>
    <mergeCell ref="E35:F35"/>
    <mergeCell ref="G47:L47"/>
    <mergeCell ref="G48:I48"/>
    <mergeCell ref="J48:L48"/>
    <mergeCell ref="E38:F38"/>
    <mergeCell ref="E37:F37"/>
    <mergeCell ref="E42:F42"/>
    <mergeCell ref="B44:M45"/>
    <mergeCell ref="G52:I52"/>
    <mergeCell ref="J52:L52"/>
    <mergeCell ref="G53:I53"/>
    <mergeCell ref="J53:L53"/>
    <mergeCell ref="G49:I49"/>
    <mergeCell ref="J49:L49"/>
    <mergeCell ref="G50:I50"/>
    <mergeCell ref="J50:L50"/>
    <mergeCell ref="G51:I51"/>
    <mergeCell ref="J51:L51"/>
  </mergeCells>
  <conditionalFormatting sqref="C35">
    <cfRule type="cellIs" dxfId="24" priority="5" operator="lessThan">
      <formula>#REF!</formula>
    </cfRule>
  </conditionalFormatting>
  <conditionalFormatting sqref="C34">
    <cfRule type="cellIs" dxfId="23" priority="3" operator="notBetween">
      <formula>-0.001</formula>
      <formula>0.0001</formula>
    </cfRule>
  </conditionalFormatting>
  <conditionalFormatting sqref="C41">
    <cfRule type="cellIs" dxfId="22" priority="13" operator="lessThan">
      <formula>$C$6+C7</formula>
    </cfRule>
  </conditionalFormatting>
  <conditionalFormatting sqref="C36">
    <cfRule type="cellIs" dxfId="21" priority="2" operator="lessThan">
      <formula>#REF!</formula>
    </cfRule>
  </conditionalFormatting>
  <conditionalFormatting sqref="C37">
    <cfRule type="cellIs" dxfId="20" priority="1" operator="lessThan">
      <formula>#REF!</formula>
    </cfRule>
  </conditionalFormatting>
  <hyperlinks>
    <hyperlink ref="O1" location="Index!A1" display="INDEX"/>
  </hyperlinks>
  <pageMargins left="0.7" right="0.7" top="0.75" bottom="0.75" header="0.3" footer="0.3"/>
  <pageSetup paperSize="8"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59"/>
  <sheetViews>
    <sheetView topLeftCell="A10" workbookViewId="0">
      <selection activeCell="C29" sqref="C29"/>
    </sheetView>
  </sheetViews>
  <sheetFormatPr defaultRowHeight="15" x14ac:dyDescent="0.25"/>
  <cols>
    <col min="1" max="1" width="3.85546875" style="1" customWidth="1"/>
    <col min="2" max="3" width="9.140625" style="1"/>
    <col min="4" max="4" width="8.28515625" style="1" bestFit="1" customWidth="1"/>
    <col min="5" max="5" width="9.140625" style="1" customWidth="1"/>
    <col min="6" max="6" width="32.85546875" style="1" customWidth="1"/>
    <col min="7" max="7" width="3.42578125" style="1" customWidth="1"/>
    <col min="8" max="8" width="4.85546875" style="1" customWidth="1"/>
    <col min="9" max="9" width="4.140625" style="1" customWidth="1"/>
    <col min="10" max="12" width="9.140625" style="1"/>
    <col min="13" max="13" width="3" style="1" customWidth="1"/>
    <col min="14" max="16384" width="9.140625" style="1"/>
  </cols>
  <sheetData>
    <row r="1" spans="1:14" x14ac:dyDescent="0.25">
      <c r="A1" s="116"/>
      <c r="B1" s="115"/>
      <c r="C1" s="115"/>
      <c r="D1" s="115"/>
      <c r="E1" s="115"/>
      <c r="F1" s="115"/>
      <c r="G1" s="115"/>
      <c r="H1" s="115"/>
      <c r="I1" s="115"/>
      <c r="J1" s="115"/>
      <c r="K1" s="115"/>
      <c r="L1" s="115"/>
      <c r="M1" s="117"/>
      <c r="N1" s="167" t="s">
        <v>426</v>
      </c>
    </row>
    <row r="2" spans="1:14" ht="21" customHeight="1" x14ac:dyDescent="0.25">
      <c r="A2" s="110"/>
      <c r="B2" s="258" t="s">
        <v>213</v>
      </c>
      <c r="C2" s="259"/>
      <c r="D2" s="259"/>
      <c r="E2" s="259"/>
      <c r="F2" s="259"/>
      <c r="G2" s="259"/>
      <c r="H2" s="259"/>
      <c r="I2" s="259"/>
      <c r="J2" s="259"/>
      <c r="K2" s="259"/>
      <c r="L2" s="260"/>
      <c r="M2" s="111"/>
    </row>
    <row r="3" spans="1:14" ht="21" customHeight="1" x14ac:dyDescent="0.25">
      <c r="A3" s="110"/>
      <c r="B3" s="261"/>
      <c r="C3" s="262"/>
      <c r="D3" s="262"/>
      <c r="E3" s="262"/>
      <c r="F3" s="262"/>
      <c r="G3" s="262"/>
      <c r="H3" s="262"/>
      <c r="I3" s="262"/>
      <c r="J3" s="262"/>
      <c r="K3" s="262"/>
      <c r="L3" s="263"/>
      <c r="M3" s="111"/>
    </row>
    <row r="4" spans="1:14" x14ac:dyDescent="0.25">
      <c r="A4" s="110"/>
      <c r="B4" s="8"/>
      <c r="C4" s="12"/>
      <c r="D4" s="12"/>
      <c r="E4" s="12"/>
      <c r="F4" s="12"/>
      <c r="G4" s="12"/>
      <c r="H4" s="12"/>
      <c r="I4" s="12"/>
      <c r="J4" s="12"/>
      <c r="K4" s="12"/>
      <c r="L4" s="9"/>
      <c r="M4" s="111"/>
    </row>
    <row r="5" spans="1:14" x14ac:dyDescent="0.25">
      <c r="A5" s="110"/>
      <c r="B5" s="265" t="s">
        <v>59</v>
      </c>
      <c r="C5" s="265"/>
      <c r="D5" s="265"/>
      <c r="E5" s="265"/>
      <c r="F5" s="265"/>
      <c r="G5" s="12"/>
      <c r="H5" s="12"/>
      <c r="I5" s="12"/>
      <c r="J5" s="187" t="s">
        <v>224</v>
      </c>
      <c r="K5" s="220"/>
      <c r="L5" s="188"/>
      <c r="M5" s="111"/>
    </row>
    <row r="6" spans="1:14" ht="18" x14ac:dyDescent="0.35">
      <c r="A6" s="110"/>
      <c r="B6" s="7" t="s">
        <v>11</v>
      </c>
      <c r="C6" s="118">
        <v>15</v>
      </c>
      <c r="D6" s="2" t="s">
        <v>12</v>
      </c>
      <c r="E6" s="183" t="s">
        <v>13</v>
      </c>
      <c r="F6" s="183"/>
      <c r="G6" s="12"/>
      <c r="H6" s="209" t="s">
        <v>243</v>
      </c>
      <c r="I6" s="12"/>
      <c r="J6" s="22"/>
      <c r="K6" s="21"/>
      <c r="L6" s="23"/>
      <c r="M6" s="111"/>
    </row>
    <row r="7" spans="1:14" ht="18" x14ac:dyDescent="0.35">
      <c r="A7" s="110"/>
      <c r="B7" s="7" t="s">
        <v>9</v>
      </c>
      <c r="C7" s="118">
        <v>3000</v>
      </c>
      <c r="D7" s="2" t="s">
        <v>16</v>
      </c>
      <c r="E7" s="183" t="s">
        <v>17</v>
      </c>
      <c r="F7" s="183"/>
      <c r="G7" s="12"/>
      <c r="H7" s="210"/>
      <c r="I7" s="12"/>
      <c r="J7" s="22"/>
      <c r="K7" s="21"/>
      <c r="L7" s="23"/>
      <c r="M7" s="111"/>
    </row>
    <row r="8" spans="1:14" ht="15" customHeight="1" x14ac:dyDescent="0.25">
      <c r="A8" s="110"/>
      <c r="B8" s="7" t="s">
        <v>14</v>
      </c>
      <c r="C8" s="118">
        <v>0.6</v>
      </c>
      <c r="D8" s="2"/>
      <c r="E8" s="183" t="s">
        <v>15</v>
      </c>
      <c r="F8" s="183"/>
      <c r="G8" s="12"/>
      <c r="H8" s="210"/>
      <c r="I8" s="12"/>
      <c r="J8" s="88"/>
      <c r="K8" s="21"/>
      <c r="L8" s="23"/>
      <c r="M8" s="111"/>
    </row>
    <row r="9" spans="1:14" ht="17.25" customHeight="1" x14ac:dyDescent="0.25">
      <c r="A9" s="110"/>
      <c r="B9" s="17" t="s">
        <v>244</v>
      </c>
      <c r="C9" s="119">
        <v>35</v>
      </c>
      <c r="D9" s="2" t="s">
        <v>19</v>
      </c>
      <c r="E9" s="183" t="s">
        <v>18</v>
      </c>
      <c r="F9" s="183"/>
      <c r="G9" s="12"/>
      <c r="H9" s="210"/>
      <c r="I9" s="12"/>
      <c r="J9" s="22"/>
      <c r="K9" s="21"/>
      <c r="L9" s="23"/>
      <c r="M9" s="111"/>
    </row>
    <row r="10" spans="1:14" s="16" customFormat="1" ht="18" x14ac:dyDescent="0.25">
      <c r="A10" s="106"/>
      <c r="B10" s="17" t="s">
        <v>157</v>
      </c>
      <c r="C10" s="19">
        <f>(141.5/(131.5+C9))</f>
        <v>0.8498498498498499</v>
      </c>
      <c r="D10" s="18"/>
      <c r="E10" s="183" t="s">
        <v>143</v>
      </c>
      <c r="F10" s="183"/>
      <c r="G10" s="21"/>
      <c r="H10" s="210"/>
      <c r="I10" s="21"/>
      <c r="J10" s="22"/>
      <c r="K10" s="21"/>
      <c r="L10" s="23"/>
      <c r="M10" s="100"/>
    </row>
    <row r="11" spans="1:14" ht="15" customHeight="1" x14ac:dyDescent="0.25">
      <c r="A11" s="110"/>
      <c r="B11" s="7" t="s">
        <v>3</v>
      </c>
      <c r="C11" s="118">
        <v>985</v>
      </c>
      <c r="D11" s="2" t="s">
        <v>20</v>
      </c>
      <c r="E11" s="183" t="s">
        <v>21</v>
      </c>
      <c r="F11" s="183"/>
      <c r="G11" s="12"/>
      <c r="H11" s="210"/>
      <c r="I11" s="12"/>
      <c r="J11" s="22"/>
      <c r="K11" s="21"/>
      <c r="L11" s="23"/>
      <c r="M11" s="111"/>
    </row>
    <row r="12" spans="1:14" ht="17.25" customHeight="1" x14ac:dyDescent="0.25">
      <c r="A12" s="110"/>
      <c r="B12" s="7" t="s">
        <v>245</v>
      </c>
      <c r="C12" s="118">
        <v>60</v>
      </c>
      <c r="D12" s="2" t="s">
        <v>23</v>
      </c>
      <c r="E12" s="183" t="s">
        <v>22</v>
      </c>
      <c r="F12" s="183"/>
      <c r="G12" s="12"/>
      <c r="H12" s="210"/>
      <c r="I12" s="12"/>
      <c r="J12" s="22"/>
      <c r="K12" s="21"/>
      <c r="L12" s="23"/>
      <c r="M12" s="111"/>
    </row>
    <row r="13" spans="1:14" ht="17.25" customHeight="1" x14ac:dyDescent="0.25">
      <c r="A13" s="110"/>
      <c r="B13" s="7" t="s">
        <v>4</v>
      </c>
      <c r="C13" s="3">
        <f>C12+459.67</f>
        <v>519.67000000000007</v>
      </c>
      <c r="D13" s="2" t="s">
        <v>24</v>
      </c>
      <c r="E13" s="183" t="s">
        <v>22</v>
      </c>
      <c r="F13" s="183"/>
      <c r="G13" s="12"/>
      <c r="H13" s="210"/>
      <c r="I13" s="12"/>
      <c r="J13" s="22"/>
      <c r="K13" s="21"/>
      <c r="L13" s="23"/>
      <c r="M13" s="111"/>
    </row>
    <row r="14" spans="1:14" ht="15" customHeight="1" x14ac:dyDescent="0.25">
      <c r="A14" s="110"/>
      <c r="B14" s="7" t="s">
        <v>10</v>
      </c>
      <c r="C14" s="118">
        <v>3</v>
      </c>
      <c r="D14" s="2" t="s">
        <v>25</v>
      </c>
      <c r="E14" s="183" t="s">
        <v>384</v>
      </c>
      <c r="F14" s="183"/>
      <c r="G14" s="12"/>
      <c r="H14" s="210"/>
      <c r="I14" s="12"/>
      <c r="J14" s="22"/>
      <c r="K14" s="21"/>
      <c r="L14" s="23"/>
      <c r="M14" s="111"/>
    </row>
    <row r="15" spans="1:14" ht="15" customHeight="1" x14ac:dyDescent="0.25">
      <c r="A15" s="110"/>
      <c r="B15" s="7" t="s">
        <v>5</v>
      </c>
      <c r="C15" s="118">
        <v>0.84</v>
      </c>
      <c r="D15" s="2"/>
      <c r="E15" s="183" t="s">
        <v>28</v>
      </c>
      <c r="F15" s="183"/>
      <c r="G15" s="12"/>
      <c r="H15" s="210"/>
      <c r="I15" s="12"/>
      <c r="J15" s="22"/>
      <c r="K15" s="21"/>
      <c r="L15" s="23"/>
      <c r="M15" s="111"/>
    </row>
    <row r="16" spans="1:14" ht="18" customHeight="1" x14ac:dyDescent="0.35">
      <c r="A16" s="110"/>
      <c r="B16" s="7" t="s">
        <v>8</v>
      </c>
      <c r="C16" s="118">
        <v>1.2999999999999999E-2</v>
      </c>
      <c r="D16" s="2" t="s">
        <v>29</v>
      </c>
      <c r="E16" s="183" t="s">
        <v>30</v>
      </c>
      <c r="F16" s="183"/>
      <c r="G16" s="12"/>
      <c r="H16" s="210"/>
      <c r="I16" s="12"/>
      <c r="J16" s="22"/>
      <c r="K16" s="21"/>
      <c r="L16" s="23"/>
      <c r="M16" s="111"/>
    </row>
    <row r="17" spans="1:13" ht="18" customHeight="1" x14ac:dyDescent="0.35">
      <c r="A17" s="110"/>
      <c r="B17" s="7" t="s">
        <v>1</v>
      </c>
      <c r="C17" s="118">
        <v>100</v>
      </c>
      <c r="D17" s="2" t="s">
        <v>37</v>
      </c>
      <c r="E17" s="183" t="s">
        <v>38</v>
      </c>
      <c r="F17" s="183"/>
      <c r="G17" s="12"/>
      <c r="H17" s="211"/>
      <c r="I17" s="12"/>
      <c r="J17" s="26"/>
      <c r="K17" s="27"/>
      <c r="L17" s="28"/>
      <c r="M17" s="111"/>
    </row>
    <row r="18" spans="1:13" ht="18" customHeight="1" x14ac:dyDescent="0.25">
      <c r="A18" s="110"/>
      <c r="B18" s="108"/>
      <c r="C18" s="12"/>
      <c r="D18" s="12"/>
      <c r="E18" s="229"/>
      <c r="F18" s="229"/>
      <c r="G18" s="12"/>
      <c r="H18" s="12"/>
      <c r="I18" s="12"/>
      <c r="J18" s="12"/>
      <c r="K18" s="12"/>
      <c r="L18" s="9"/>
      <c r="M18" s="111"/>
    </row>
    <row r="19" spans="1:13" ht="15" customHeight="1" x14ac:dyDescent="0.25">
      <c r="A19" s="110"/>
      <c r="B19" s="264" t="s">
        <v>60</v>
      </c>
      <c r="C19" s="264"/>
      <c r="D19" s="264"/>
      <c r="E19" s="264"/>
      <c r="F19" s="264"/>
      <c r="G19" s="12"/>
      <c r="H19" s="245" t="s">
        <v>61</v>
      </c>
      <c r="I19" s="246"/>
      <c r="J19" s="246"/>
      <c r="K19" s="246"/>
      <c r="L19" s="247"/>
      <c r="M19" s="111"/>
    </row>
    <row r="20" spans="1:13" x14ac:dyDescent="0.25">
      <c r="A20" s="110"/>
      <c r="B20" s="109" t="s">
        <v>26</v>
      </c>
      <c r="C20" s="12" t="s">
        <v>27</v>
      </c>
      <c r="D20" s="12"/>
      <c r="E20" s="87"/>
      <c r="F20" s="87"/>
      <c r="G20" s="12"/>
      <c r="H20" s="120"/>
      <c r="I20" s="121"/>
      <c r="J20" s="121"/>
      <c r="K20" s="121"/>
      <c r="L20" s="122"/>
      <c r="M20" s="111"/>
    </row>
    <row r="21" spans="1:13" ht="18.75" x14ac:dyDescent="0.35">
      <c r="A21" s="110"/>
      <c r="B21" s="7" t="s">
        <v>0</v>
      </c>
      <c r="C21" s="4">
        <f>2.7*C8*C11/C13/C15</f>
        <v>3.6554791639749395</v>
      </c>
      <c r="D21" s="2" t="s">
        <v>31</v>
      </c>
      <c r="E21" s="183" t="s">
        <v>69</v>
      </c>
      <c r="F21" s="183"/>
      <c r="G21" s="12"/>
      <c r="H21" s="8"/>
      <c r="I21" s="12"/>
      <c r="J21" s="12"/>
      <c r="K21" s="12"/>
      <c r="L21" s="9"/>
      <c r="M21" s="111"/>
    </row>
    <row r="22" spans="1:13" ht="18.75" x14ac:dyDescent="0.35">
      <c r="A22" s="110"/>
      <c r="B22" s="7" t="s">
        <v>32</v>
      </c>
      <c r="C22" s="4">
        <f>62.4*C10</f>
        <v>53.030630630630633</v>
      </c>
      <c r="D22" s="2" t="s">
        <v>31</v>
      </c>
      <c r="E22" s="183" t="s">
        <v>70</v>
      </c>
      <c r="F22" s="183"/>
      <c r="G22" s="12"/>
      <c r="H22" s="8"/>
      <c r="I22" s="12"/>
      <c r="J22" s="12"/>
      <c r="K22" s="12"/>
      <c r="L22" s="9"/>
      <c r="M22" s="111"/>
    </row>
    <row r="23" spans="1:13" x14ac:dyDescent="0.25">
      <c r="A23" s="110"/>
      <c r="B23" s="8"/>
      <c r="C23" s="12"/>
      <c r="D23" s="12"/>
      <c r="E23" s="229"/>
      <c r="F23" s="229"/>
      <c r="G23" s="12"/>
      <c r="H23" s="8"/>
      <c r="I23" s="12"/>
      <c r="J23" s="12"/>
      <c r="K23" s="12"/>
      <c r="L23" s="9"/>
      <c r="M23" s="111"/>
    </row>
    <row r="24" spans="1:13" ht="18" x14ac:dyDescent="0.35">
      <c r="A24" s="110"/>
      <c r="B24" s="109" t="s">
        <v>33</v>
      </c>
      <c r="C24" s="12" t="s">
        <v>34</v>
      </c>
      <c r="D24" s="12"/>
      <c r="E24" s="229"/>
      <c r="F24" s="229"/>
      <c r="G24" s="12"/>
      <c r="H24" s="8"/>
      <c r="I24" s="12"/>
      <c r="J24" s="12"/>
      <c r="K24" s="12"/>
      <c r="L24" s="9"/>
      <c r="M24" s="111"/>
    </row>
    <row r="25" spans="1:13" ht="18" x14ac:dyDescent="0.35">
      <c r="A25" s="110"/>
      <c r="B25" s="2" t="s">
        <v>35</v>
      </c>
      <c r="C25" s="130">
        <v>1.2109987282227452</v>
      </c>
      <c r="D25" s="2" t="s">
        <v>36</v>
      </c>
      <c r="E25" s="183" t="s">
        <v>43</v>
      </c>
      <c r="F25" s="183"/>
      <c r="G25" s="12"/>
      <c r="H25" s="8"/>
      <c r="I25" s="12"/>
      <c r="J25" s="12"/>
      <c r="K25" s="12"/>
      <c r="L25" s="9"/>
      <c r="M25" s="111"/>
    </row>
    <row r="26" spans="1:13" x14ac:dyDescent="0.25">
      <c r="A26" s="110"/>
      <c r="B26" s="2" t="s">
        <v>2</v>
      </c>
      <c r="C26" s="6">
        <f>0.01186*SQRT((C22-C21)/C21*C17/C25)</f>
        <v>0.39609094081346796</v>
      </c>
      <c r="D26" s="2" t="s">
        <v>39</v>
      </c>
      <c r="E26" s="183" t="s">
        <v>40</v>
      </c>
      <c r="F26" s="183"/>
      <c r="G26" s="12"/>
      <c r="H26" s="8"/>
      <c r="I26" s="12"/>
      <c r="J26" s="12"/>
      <c r="K26" s="12"/>
      <c r="L26" s="9"/>
      <c r="M26" s="111"/>
    </row>
    <row r="27" spans="1:13" x14ac:dyDescent="0.25">
      <c r="A27" s="110"/>
      <c r="B27" s="2" t="s">
        <v>7</v>
      </c>
      <c r="C27" s="3">
        <f>0.0049*C21*C17*C26/C16</f>
        <v>54.574774521507926</v>
      </c>
      <c r="D27" s="2"/>
      <c r="E27" s="183" t="s">
        <v>41</v>
      </c>
      <c r="F27" s="183"/>
      <c r="G27" s="12"/>
      <c r="H27" s="8"/>
      <c r="I27" s="12"/>
      <c r="J27" s="12"/>
      <c r="K27" s="12"/>
      <c r="L27" s="9"/>
      <c r="M27" s="111"/>
    </row>
    <row r="28" spans="1:13" ht="18" x14ac:dyDescent="0.35">
      <c r="A28" s="110"/>
      <c r="B28" s="2" t="s">
        <v>35</v>
      </c>
      <c r="C28" s="6">
        <f>0.34+3/C27^0.5+24/C27</f>
        <v>1.1858564033709125</v>
      </c>
      <c r="D28" s="2"/>
      <c r="E28" s="183"/>
      <c r="F28" s="183"/>
      <c r="G28" s="12"/>
      <c r="H28" s="8"/>
      <c r="I28" s="12"/>
      <c r="J28" s="12"/>
      <c r="K28" s="12"/>
      <c r="L28" s="9"/>
      <c r="M28" s="111"/>
    </row>
    <row r="29" spans="1:13" ht="30.75" customHeight="1" x14ac:dyDescent="0.25">
      <c r="A29" s="110"/>
      <c r="B29" s="2" t="s">
        <v>42</v>
      </c>
      <c r="C29" s="6">
        <f>(C25-C28)^2</f>
        <v>6.3213649895508747E-4</v>
      </c>
      <c r="D29" s="2"/>
      <c r="E29" s="183" t="s">
        <v>63</v>
      </c>
      <c r="F29" s="183"/>
      <c r="G29" s="12"/>
      <c r="H29" s="8"/>
      <c r="I29" s="12"/>
      <c r="J29" s="12"/>
      <c r="K29" s="12"/>
      <c r="L29" s="9"/>
      <c r="M29" s="111"/>
    </row>
    <row r="30" spans="1:13" x14ac:dyDescent="0.25">
      <c r="A30" s="110"/>
      <c r="B30" s="8"/>
      <c r="C30" s="12"/>
      <c r="D30" s="12"/>
      <c r="E30" s="229"/>
      <c r="F30" s="229"/>
      <c r="G30" s="12"/>
      <c r="H30" s="8"/>
      <c r="I30" s="12"/>
      <c r="J30" s="12"/>
      <c r="K30" s="12"/>
      <c r="L30" s="9"/>
      <c r="M30" s="111"/>
    </row>
    <row r="31" spans="1:13" x14ac:dyDescent="0.25">
      <c r="A31" s="110"/>
      <c r="B31" s="109" t="s">
        <v>44</v>
      </c>
      <c r="C31" s="12" t="s">
        <v>45</v>
      </c>
      <c r="D31" s="12"/>
      <c r="E31" s="87"/>
      <c r="F31" s="87"/>
      <c r="G31" s="12"/>
      <c r="H31" s="8"/>
      <c r="I31" s="12"/>
      <c r="J31" s="12"/>
      <c r="K31" s="12"/>
      <c r="L31" s="9"/>
      <c r="M31" s="111"/>
    </row>
    <row r="32" spans="1:13" ht="17.25" x14ac:dyDescent="0.25">
      <c r="A32" s="110"/>
      <c r="B32" s="2" t="s">
        <v>46</v>
      </c>
      <c r="C32" s="3">
        <f>5058*C6*(C13*C15/C11)*SQRT(C21*C25/(C22-C21)/C17)</f>
        <v>1006.7706941425614</v>
      </c>
      <c r="D32" s="2" t="s">
        <v>58</v>
      </c>
      <c r="E32" s="183"/>
      <c r="F32" s="183"/>
      <c r="G32" s="12"/>
      <c r="H32" s="8"/>
      <c r="I32" s="12"/>
      <c r="J32" s="12"/>
      <c r="K32" s="12"/>
      <c r="L32" s="9"/>
      <c r="M32" s="111"/>
    </row>
    <row r="33" spans="1:13" ht="30.75" customHeight="1" x14ac:dyDescent="0.35">
      <c r="A33" s="110"/>
      <c r="B33" s="2" t="s">
        <v>47</v>
      </c>
      <c r="C33" s="4">
        <f>SQRT(C32)</f>
        <v>31.72965007910679</v>
      </c>
      <c r="D33" s="2" t="s">
        <v>48</v>
      </c>
      <c r="E33" s="183" t="s">
        <v>49</v>
      </c>
      <c r="F33" s="183"/>
      <c r="G33" s="12"/>
      <c r="H33" s="8"/>
      <c r="I33" s="12"/>
      <c r="J33" s="12"/>
      <c r="K33" s="12"/>
      <c r="L33" s="9"/>
      <c r="M33" s="111"/>
    </row>
    <row r="34" spans="1:13" x14ac:dyDescent="0.25">
      <c r="A34" s="110"/>
      <c r="B34" s="8"/>
      <c r="C34" s="12"/>
      <c r="D34" s="12"/>
      <c r="E34" s="229"/>
      <c r="F34" s="229"/>
      <c r="G34" s="12"/>
      <c r="H34" s="8"/>
      <c r="I34" s="12"/>
      <c r="J34" s="12"/>
      <c r="K34" s="12"/>
      <c r="L34" s="9"/>
      <c r="M34" s="111"/>
    </row>
    <row r="35" spans="1:13" x14ac:dyDescent="0.25">
      <c r="A35" s="110"/>
      <c r="B35" s="109" t="s">
        <v>50</v>
      </c>
      <c r="C35" s="12" t="s">
        <v>51</v>
      </c>
      <c r="D35" s="12"/>
      <c r="E35" s="87"/>
      <c r="F35" s="87"/>
      <c r="G35" s="12"/>
      <c r="H35" s="8"/>
      <c r="I35" s="12"/>
      <c r="J35" s="12"/>
      <c r="K35" s="12"/>
      <c r="L35" s="9"/>
      <c r="M35" s="111"/>
    </row>
    <row r="36" spans="1:13" ht="17.25" x14ac:dyDescent="0.25">
      <c r="A36" s="110"/>
      <c r="B36" s="2" t="s">
        <v>52</v>
      </c>
      <c r="C36" s="2">
        <f>8.565*C7*C14</f>
        <v>77085</v>
      </c>
      <c r="D36" s="12"/>
      <c r="E36" s="229"/>
      <c r="F36" s="229"/>
      <c r="G36" s="12"/>
      <c r="H36" s="8"/>
      <c r="I36" s="12"/>
      <c r="J36" s="12"/>
      <c r="K36" s="12"/>
      <c r="L36" s="9"/>
      <c r="M36" s="111"/>
    </row>
    <row r="37" spans="1:13" x14ac:dyDescent="0.25">
      <c r="A37" s="110"/>
      <c r="B37" s="8"/>
      <c r="C37" s="12"/>
      <c r="D37" s="12"/>
      <c r="E37" s="12"/>
      <c r="F37" s="12"/>
      <c r="G37" s="12"/>
      <c r="H37" s="8"/>
      <c r="I37" s="12"/>
      <c r="J37" s="12"/>
      <c r="K37" s="12"/>
      <c r="L37" s="9"/>
      <c r="M37" s="111"/>
    </row>
    <row r="38" spans="1:13" x14ac:dyDescent="0.25">
      <c r="A38" s="110"/>
      <c r="B38" s="8" t="s">
        <v>62</v>
      </c>
      <c r="C38" s="12"/>
      <c r="D38" s="12"/>
      <c r="E38" s="12"/>
      <c r="F38" s="12"/>
      <c r="G38" s="12"/>
      <c r="H38" s="8"/>
      <c r="I38" s="12"/>
      <c r="J38" s="12"/>
      <c r="K38" s="12"/>
      <c r="L38" s="9"/>
      <c r="M38" s="111"/>
    </row>
    <row r="39" spans="1:13" x14ac:dyDescent="0.25">
      <c r="A39" s="110"/>
      <c r="B39" s="245" t="s">
        <v>383</v>
      </c>
      <c r="C39" s="246"/>
      <c r="D39" s="246"/>
      <c r="E39" s="247"/>
      <c r="F39" s="12"/>
      <c r="G39" s="12"/>
      <c r="H39" s="8"/>
      <c r="I39" s="12"/>
      <c r="J39" s="12"/>
      <c r="K39" s="12"/>
      <c r="L39" s="9"/>
      <c r="M39" s="111"/>
    </row>
    <row r="40" spans="1:13" ht="18" x14ac:dyDescent="0.35">
      <c r="A40" s="110"/>
      <c r="B40" s="137" t="s">
        <v>53</v>
      </c>
      <c r="C40" s="137" t="s">
        <v>54</v>
      </c>
      <c r="D40" s="137" t="s">
        <v>428</v>
      </c>
      <c r="E40" s="137" t="s">
        <v>55</v>
      </c>
      <c r="F40" s="12"/>
      <c r="G40" s="12"/>
      <c r="H40" s="8"/>
      <c r="I40" s="12"/>
      <c r="J40" s="12"/>
      <c r="K40" s="12"/>
      <c r="L40" s="9"/>
      <c r="M40" s="111"/>
    </row>
    <row r="41" spans="1:13" x14ac:dyDescent="0.25">
      <c r="A41" s="110"/>
      <c r="B41" s="168">
        <v>30</v>
      </c>
      <c r="C41" s="4">
        <f>C$36/B41^2</f>
        <v>85.65</v>
      </c>
      <c r="D41" s="4">
        <f>IF(B41&lt;36,(C41+76)/12,(C41+B41+40)/12)</f>
        <v>13.470833333333333</v>
      </c>
      <c r="E41" s="4">
        <f>D41*12/B41</f>
        <v>5.3883333333333336</v>
      </c>
      <c r="F41" s="12"/>
      <c r="G41" s="12"/>
      <c r="H41" s="8"/>
      <c r="I41" s="12"/>
      <c r="J41" s="12"/>
      <c r="K41" s="12"/>
      <c r="L41" s="9"/>
      <c r="M41" s="111"/>
    </row>
    <row r="42" spans="1:13" x14ac:dyDescent="0.25">
      <c r="A42" s="110"/>
      <c r="B42" s="118">
        <f>B41+6</f>
        <v>36</v>
      </c>
      <c r="C42" s="4">
        <f t="shared" ref="C42:C51" si="0">C$36/B42^2</f>
        <v>59.479166666666664</v>
      </c>
      <c r="D42" s="4">
        <f>IF(B42&lt;36,(C42+76)/12,(C42+B42+40)/12)</f>
        <v>11.289930555555555</v>
      </c>
      <c r="E42" s="4">
        <f>D42*12/B42</f>
        <v>3.7633101851851851</v>
      </c>
      <c r="F42" s="12"/>
      <c r="G42" s="12"/>
      <c r="H42" s="8"/>
      <c r="I42" s="12"/>
      <c r="J42" s="12"/>
      <c r="K42" s="12"/>
      <c r="L42" s="9"/>
      <c r="M42" s="111"/>
    </row>
    <row r="43" spans="1:13" x14ac:dyDescent="0.25">
      <c r="A43" s="110"/>
      <c r="B43" s="118">
        <f t="shared" ref="B43:B51" si="1">B42+6</f>
        <v>42</v>
      </c>
      <c r="C43" s="4">
        <f>C$36/B43^2</f>
        <v>43.698979591836732</v>
      </c>
      <c r="D43" s="4">
        <f>IF(B43&lt;36,(C43+76)/12,(C43+B43+40)/12)</f>
        <v>10.474914965986395</v>
      </c>
      <c r="E43" s="4">
        <f>D43*12/B43</f>
        <v>2.9928328474246846</v>
      </c>
      <c r="F43" s="12"/>
      <c r="G43" s="12"/>
      <c r="H43" s="10"/>
      <c r="I43" s="13"/>
      <c r="J43" s="13"/>
      <c r="K43" s="13"/>
      <c r="L43" s="11"/>
      <c r="M43" s="111"/>
    </row>
    <row r="44" spans="1:13" x14ac:dyDescent="0.25">
      <c r="A44" s="110"/>
      <c r="B44" s="118">
        <f t="shared" si="1"/>
        <v>48</v>
      </c>
      <c r="C44" s="4">
        <f t="shared" si="0"/>
        <v>33.45703125</v>
      </c>
      <c r="D44" s="4">
        <f>IF(B44&lt;36,(C44+76)/12,(C44+B44+40)/12)</f>
        <v>10.121419270833334</v>
      </c>
      <c r="E44" s="4">
        <f>D44*12/B44</f>
        <v>2.5303548177083335</v>
      </c>
      <c r="F44" s="12"/>
      <c r="G44" s="12"/>
      <c r="H44" s="12"/>
      <c r="I44" s="12"/>
      <c r="J44" s="12"/>
      <c r="K44" s="12"/>
      <c r="L44" s="9"/>
      <c r="M44" s="111"/>
    </row>
    <row r="45" spans="1:13" x14ac:dyDescent="0.25">
      <c r="A45" s="110"/>
      <c r="B45" s="118">
        <f t="shared" si="1"/>
        <v>54</v>
      </c>
      <c r="C45" s="4">
        <f t="shared" si="0"/>
        <v>26.435185185185187</v>
      </c>
      <c r="D45" s="4">
        <f>IF(B45&lt;36,(C45+76)/12,(C45+B45+40)/12)</f>
        <v>10.036265432098766</v>
      </c>
      <c r="E45" s="4">
        <f>D45*12/B45</f>
        <v>2.2302812071330589</v>
      </c>
      <c r="F45" s="12"/>
      <c r="G45" s="12"/>
      <c r="H45" s="195" t="s">
        <v>391</v>
      </c>
      <c r="I45" s="195"/>
      <c r="J45" s="195"/>
      <c r="K45" s="195"/>
      <c r="L45" s="195"/>
      <c r="M45" s="111"/>
    </row>
    <row r="46" spans="1:13" x14ac:dyDescent="0.25">
      <c r="A46" s="110"/>
      <c r="B46" s="118">
        <f t="shared" si="1"/>
        <v>60</v>
      </c>
      <c r="C46" s="4">
        <f t="shared" si="0"/>
        <v>21.412500000000001</v>
      </c>
      <c r="D46" s="4">
        <f t="shared" ref="D46:D51" si="2">IF(B46&lt;36,(C46+76)/12,(C46+B46+40)/12)</f>
        <v>10.117708333333333</v>
      </c>
      <c r="E46" s="4">
        <f t="shared" ref="E46:E51" si="3">D46*12/B46</f>
        <v>2.0235416666666666</v>
      </c>
      <c r="F46" s="12"/>
      <c r="G46" s="12"/>
      <c r="H46" s="250" t="s">
        <v>91</v>
      </c>
      <c r="I46" s="251"/>
      <c r="J46" s="252"/>
      <c r="K46" s="248" t="s">
        <v>109</v>
      </c>
      <c r="L46" s="249"/>
      <c r="M46" s="111"/>
    </row>
    <row r="47" spans="1:13" ht="17.25" x14ac:dyDescent="0.25">
      <c r="A47" s="110"/>
      <c r="B47" s="118">
        <f t="shared" si="1"/>
        <v>66</v>
      </c>
      <c r="C47" s="4">
        <f t="shared" si="0"/>
        <v>17.696280991735538</v>
      </c>
      <c r="D47" s="4">
        <f t="shared" si="2"/>
        <v>10.308023415977962</v>
      </c>
      <c r="E47" s="4">
        <f t="shared" si="3"/>
        <v>1.8741860756323565</v>
      </c>
      <c r="F47" s="12"/>
      <c r="G47" s="12"/>
      <c r="H47" s="253" t="s">
        <v>92</v>
      </c>
      <c r="I47" s="254"/>
      <c r="J47" s="255"/>
      <c r="K47" s="232">
        <v>1</v>
      </c>
      <c r="L47" s="232"/>
      <c r="M47" s="111"/>
    </row>
    <row r="48" spans="1:13" ht="17.25" x14ac:dyDescent="0.25">
      <c r="A48" s="110"/>
      <c r="B48" s="118">
        <f t="shared" si="1"/>
        <v>72</v>
      </c>
      <c r="C48" s="4">
        <f t="shared" si="0"/>
        <v>14.869791666666666</v>
      </c>
      <c r="D48" s="4">
        <f t="shared" si="2"/>
        <v>10.572482638888889</v>
      </c>
      <c r="E48" s="4">
        <f t="shared" si="3"/>
        <v>1.7620804398148149</v>
      </c>
      <c r="F48" s="12"/>
      <c r="G48" s="12"/>
      <c r="H48" s="253" t="s">
        <v>93</v>
      </c>
      <c r="I48" s="254"/>
      <c r="J48" s="255"/>
      <c r="K48" s="232" t="s">
        <v>95</v>
      </c>
      <c r="L48" s="232"/>
      <c r="M48" s="111"/>
    </row>
    <row r="49" spans="1:13" ht="17.25" x14ac:dyDescent="0.25">
      <c r="A49" s="110"/>
      <c r="B49" s="118">
        <f t="shared" si="1"/>
        <v>78</v>
      </c>
      <c r="C49" s="4">
        <f t="shared" si="0"/>
        <v>12.670118343195266</v>
      </c>
      <c r="D49" s="4">
        <f t="shared" si="2"/>
        <v>10.889176528599606</v>
      </c>
      <c r="E49" s="4">
        <f t="shared" si="3"/>
        <v>1.6752579274768624</v>
      </c>
      <c r="F49" s="12"/>
      <c r="G49" s="12"/>
      <c r="H49" s="253" t="s">
        <v>94</v>
      </c>
      <c r="I49" s="254"/>
      <c r="J49" s="255"/>
      <c r="K49" s="232" t="s">
        <v>96</v>
      </c>
      <c r="L49" s="232"/>
      <c r="M49" s="111"/>
    </row>
    <row r="50" spans="1:13" x14ac:dyDescent="0.25">
      <c r="A50" s="110"/>
      <c r="B50" s="118">
        <f t="shared" si="1"/>
        <v>84</v>
      </c>
      <c r="C50" s="4">
        <f t="shared" si="0"/>
        <v>10.924744897959183</v>
      </c>
      <c r="D50" s="4">
        <f t="shared" si="2"/>
        <v>11.243728741496598</v>
      </c>
      <c r="E50" s="4">
        <f t="shared" si="3"/>
        <v>1.6062469630709426</v>
      </c>
      <c r="F50" s="12"/>
      <c r="G50" s="12"/>
      <c r="J50" s="12"/>
      <c r="K50" s="12"/>
      <c r="L50" s="9"/>
      <c r="M50" s="111"/>
    </row>
    <row r="51" spans="1:13" x14ac:dyDescent="0.25">
      <c r="A51" s="110"/>
      <c r="B51" s="118">
        <f t="shared" si="1"/>
        <v>90</v>
      </c>
      <c r="C51" s="4">
        <f t="shared" si="0"/>
        <v>9.5166666666666675</v>
      </c>
      <c r="D51" s="4">
        <f t="shared" si="2"/>
        <v>11.626388888888888</v>
      </c>
      <c r="E51" s="4">
        <f t="shared" si="3"/>
        <v>1.5501851851851851</v>
      </c>
      <c r="F51" s="12"/>
      <c r="G51" s="12"/>
      <c r="J51" s="12"/>
      <c r="K51" s="12"/>
      <c r="L51" s="9"/>
      <c r="M51" s="111"/>
    </row>
    <row r="52" spans="1:13" x14ac:dyDescent="0.25">
      <c r="A52" s="110"/>
      <c r="B52" s="8"/>
      <c r="C52" s="12"/>
      <c r="D52" s="12"/>
      <c r="E52" s="12"/>
      <c r="F52" s="12"/>
      <c r="G52" s="12"/>
      <c r="J52" s="12"/>
      <c r="K52" s="12"/>
      <c r="L52" s="9"/>
      <c r="M52" s="111"/>
    </row>
    <row r="53" spans="1:13" ht="18" x14ac:dyDescent="0.35">
      <c r="A53" s="110"/>
      <c r="B53" s="137" t="s">
        <v>322</v>
      </c>
      <c r="C53" s="138">
        <v>11.3</v>
      </c>
      <c r="D53" s="137" t="s">
        <v>57</v>
      </c>
      <c r="E53" s="257" t="s">
        <v>386</v>
      </c>
      <c r="F53" s="257"/>
      <c r="G53" s="257"/>
      <c r="H53" s="257"/>
      <c r="I53" s="257"/>
      <c r="J53" s="257"/>
      <c r="K53" s="257"/>
      <c r="L53" s="257"/>
      <c r="M53" s="111"/>
    </row>
    <row r="54" spans="1:13" x14ac:dyDescent="0.25">
      <c r="A54" s="110"/>
      <c r="B54" s="2" t="s">
        <v>55</v>
      </c>
      <c r="C54" s="119">
        <v>3.8</v>
      </c>
      <c r="D54" s="2"/>
      <c r="E54" s="183" t="s">
        <v>407</v>
      </c>
      <c r="F54" s="183"/>
      <c r="G54" s="183"/>
      <c r="H54" s="183"/>
      <c r="I54" s="183"/>
      <c r="J54" s="183"/>
      <c r="K54" s="183"/>
      <c r="L54" s="183"/>
      <c r="M54" s="111"/>
    </row>
    <row r="55" spans="1:13" x14ac:dyDescent="0.25">
      <c r="A55" s="110"/>
      <c r="B55" s="137" t="s">
        <v>6</v>
      </c>
      <c r="C55" s="138">
        <v>36</v>
      </c>
      <c r="D55" s="137" t="s">
        <v>48</v>
      </c>
      <c r="E55" s="257" t="s">
        <v>388</v>
      </c>
      <c r="F55" s="257"/>
      <c r="G55" s="257"/>
      <c r="H55" s="257"/>
      <c r="I55" s="257"/>
      <c r="J55" s="257"/>
      <c r="K55" s="257"/>
      <c r="L55" s="257"/>
      <c r="M55" s="111"/>
    </row>
    <row r="56" spans="1:13" x14ac:dyDescent="0.25">
      <c r="A56" s="110"/>
      <c r="B56" s="8"/>
      <c r="C56" s="12"/>
      <c r="D56" s="12"/>
      <c r="E56" s="12"/>
      <c r="F56" s="12"/>
      <c r="G56" s="12"/>
      <c r="H56" s="12"/>
      <c r="I56" s="12"/>
      <c r="J56" s="12"/>
      <c r="K56" s="12"/>
      <c r="L56" s="9"/>
      <c r="M56" s="111"/>
    </row>
    <row r="57" spans="1:13" s="16" customFormat="1" x14ac:dyDescent="0.25">
      <c r="A57" s="106"/>
      <c r="B57" s="195" t="s">
        <v>132</v>
      </c>
      <c r="C57" s="195"/>
      <c r="D57" s="195"/>
      <c r="E57" s="195"/>
      <c r="F57" s="195"/>
      <c r="G57" s="195"/>
      <c r="H57" s="195"/>
      <c r="I57" s="195"/>
      <c r="J57" s="195"/>
      <c r="K57" s="195"/>
      <c r="L57" s="195"/>
      <c r="M57" s="100"/>
    </row>
    <row r="58" spans="1:13" s="16" customFormat="1" ht="15" customHeight="1" x14ac:dyDescent="0.25">
      <c r="A58" s="106"/>
      <c r="B58" s="256" t="s">
        <v>135</v>
      </c>
      <c r="C58" s="256"/>
      <c r="D58" s="256"/>
      <c r="E58" s="256"/>
      <c r="F58" s="256"/>
      <c r="G58" s="256"/>
      <c r="H58" s="256"/>
      <c r="I58" s="256"/>
      <c r="J58" s="256"/>
      <c r="K58" s="256"/>
      <c r="L58" s="256"/>
      <c r="M58" s="100"/>
    </row>
    <row r="59" spans="1:13" x14ac:dyDescent="0.25">
      <c r="A59" s="112"/>
      <c r="B59" s="113"/>
      <c r="C59" s="113"/>
      <c r="D59" s="113"/>
      <c r="E59" s="113"/>
      <c r="F59" s="113"/>
      <c r="G59" s="113"/>
      <c r="H59" s="113"/>
      <c r="I59" s="113"/>
      <c r="J59" s="113"/>
      <c r="K59" s="113"/>
      <c r="L59" s="113"/>
      <c r="M59" s="114"/>
    </row>
  </sheetData>
  <mergeCells count="48">
    <mergeCell ref="E36:F36"/>
    <mergeCell ref="E26:F26"/>
    <mergeCell ref="E27:F27"/>
    <mergeCell ref="E28:F28"/>
    <mergeCell ref="E29:F29"/>
    <mergeCell ref="E30:F30"/>
    <mergeCell ref="E33:F33"/>
    <mergeCell ref="E34:F34"/>
    <mergeCell ref="E32:F32"/>
    <mergeCell ref="H6:H17"/>
    <mergeCell ref="J5:L5"/>
    <mergeCell ref="B2:L3"/>
    <mergeCell ref="H19:L19"/>
    <mergeCell ref="E14:F14"/>
    <mergeCell ref="E17:F17"/>
    <mergeCell ref="E18:F18"/>
    <mergeCell ref="B19:F19"/>
    <mergeCell ref="E15:F15"/>
    <mergeCell ref="E16:F16"/>
    <mergeCell ref="B5:F5"/>
    <mergeCell ref="E10:F10"/>
    <mergeCell ref="E12:F12"/>
    <mergeCell ref="E6:F6"/>
    <mergeCell ref="E8:F8"/>
    <mergeCell ref="E7:F7"/>
    <mergeCell ref="E9:F9"/>
    <mergeCell ref="E11:F11"/>
    <mergeCell ref="E13:F13"/>
    <mergeCell ref="E25:F25"/>
    <mergeCell ref="E21:F21"/>
    <mergeCell ref="E22:F22"/>
    <mergeCell ref="E23:F23"/>
    <mergeCell ref="E24:F24"/>
    <mergeCell ref="B58:L58"/>
    <mergeCell ref="E54:L54"/>
    <mergeCell ref="E53:L53"/>
    <mergeCell ref="E55:L55"/>
    <mergeCell ref="K48:L48"/>
    <mergeCell ref="K49:L49"/>
    <mergeCell ref="H48:J48"/>
    <mergeCell ref="H49:J49"/>
    <mergeCell ref="B39:E39"/>
    <mergeCell ref="H45:L45"/>
    <mergeCell ref="K46:L46"/>
    <mergeCell ref="K47:L47"/>
    <mergeCell ref="B57:L57"/>
    <mergeCell ref="H46:J46"/>
    <mergeCell ref="H47:J47"/>
  </mergeCells>
  <conditionalFormatting sqref="E41:E51">
    <cfRule type="cellIs" dxfId="19" priority="6" operator="between">
      <formula>3</formula>
      <formula>4</formula>
    </cfRule>
  </conditionalFormatting>
  <conditionalFormatting sqref="C29">
    <cfRule type="cellIs" dxfId="18" priority="1" operator="greaterThan">
      <formula>0.001</formula>
    </cfRule>
    <cfRule type="cellIs" dxfId="17" priority="2" operator="lessThan">
      <formula>-0.001</formula>
    </cfRule>
    <cfRule type="cellIs" dxfId="16" priority="4" operator="greaterThan">
      <formula>0.001</formula>
    </cfRule>
  </conditionalFormatting>
  <conditionalFormatting sqref="B41:B51">
    <cfRule type="cellIs" dxfId="15" priority="3" operator="greaterThan">
      <formula>$C$33</formula>
    </cfRule>
  </conditionalFormatting>
  <hyperlinks>
    <hyperlink ref="N1" location="Index!A1" display="INDEX"/>
  </hyperlink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62"/>
  <sheetViews>
    <sheetView workbookViewId="0">
      <selection activeCell="C27" sqref="C27"/>
    </sheetView>
  </sheetViews>
  <sheetFormatPr defaultRowHeight="15" x14ac:dyDescent="0.25"/>
  <cols>
    <col min="1" max="1" width="3.5703125" style="1" customWidth="1"/>
    <col min="2" max="3" width="9.140625" style="1"/>
    <col min="4" max="4" width="8" style="1" customWidth="1"/>
    <col min="5" max="5" width="9.140625" style="1" customWidth="1"/>
    <col min="6" max="6" width="12" style="1" customWidth="1"/>
    <col min="7" max="7" width="10.5703125" style="1" customWidth="1"/>
    <col min="8" max="8" width="8.5703125" style="1" customWidth="1"/>
    <col min="9" max="9" width="3.140625" style="1" customWidth="1"/>
    <col min="10" max="10" width="4.140625" style="1" customWidth="1"/>
    <col min="11" max="11" width="4.28515625" style="1" customWidth="1"/>
    <col min="12" max="15" width="9.140625" style="1"/>
    <col min="16" max="16" width="3.42578125" style="1" customWidth="1"/>
    <col min="17" max="16384" width="9.140625" style="1"/>
  </cols>
  <sheetData>
    <row r="1" spans="1:18" x14ac:dyDescent="0.25">
      <c r="A1" s="116"/>
      <c r="B1" s="123"/>
      <c r="C1" s="123"/>
      <c r="D1" s="123"/>
      <c r="E1" s="123"/>
      <c r="F1" s="123"/>
      <c r="G1" s="123"/>
      <c r="H1" s="123"/>
      <c r="I1" s="123"/>
      <c r="J1" s="123"/>
      <c r="K1" s="123"/>
      <c r="L1" s="123"/>
      <c r="M1" s="123"/>
      <c r="N1" s="123"/>
      <c r="O1" s="123"/>
      <c r="P1" s="117"/>
      <c r="Q1" s="167" t="s">
        <v>426</v>
      </c>
    </row>
    <row r="2" spans="1:18" ht="21" customHeight="1" x14ac:dyDescent="0.25">
      <c r="A2" s="110"/>
      <c r="B2" s="267" t="s">
        <v>215</v>
      </c>
      <c r="C2" s="268"/>
      <c r="D2" s="268"/>
      <c r="E2" s="268"/>
      <c r="F2" s="268"/>
      <c r="G2" s="268"/>
      <c r="H2" s="268"/>
      <c r="I2" s="268"/>
      <c r="J2" s="268"/>
      <c r="K2" s="268"/>
      <c r="L2" s="268"/>
      <c r="M2" s="268"/>
      <c r="N2" s="268"/>
      <c r="O2" s="269"/>
      <c r="P2" s="111"/>
    </row>
    <row r="3" spans="1:18" ht="21" customHeight="1" x14ac:dyDescent="0.25">
      <c r="A3" s="110"/>
      <c r="B3" s="270"/>
      <c r="C3" s="271"/>
      <c r="D3" s="271"/>
      <c r="E3" s="271"/>
      <c r="F3" s="271"/>
      <c r="G3" s="271"/>
      <c r="H3" s="271"/>
      <c r="I3" s="271"/>
      <c r="J3" s="271"/>
      <c r="K3" s="271"/>
      <c r="L3" s="271"/>
      <c r="M3" s="271"/>
      <c r="N3" s="271"/>
      <c r="O3" s="272"/>
      <c r="P3" s="111"/>
    </row>
    <row r="4" spans="1:18" ht="15" customHeight="1" x14ac:dyDescent="0.25">
      <c r="A4" s="110"/>
      <c r="B4" s="8"/>
      <c r="C4" s="12"/>
      <c r="D4" s="12"/>
      <c r="E4" s="12"/>
      <c r="F4" s="12"/>
      <c r="G4" s="12"/>
      <c r="H4" s="12"/>
      <c r="I4" s="12"/>
      <c r="J4" s="12"/>
      <c r="K4" s="12"/>
      <c r="L4" s="12"/>
      <c r="M4" s="12"/>
      <c r="N4" s="12"/>
      <c r="O4" s="9"/>
      <c r="P4" s="111"/>
    </row>
    <row r="5" spans="1:18" x14ac:dyDescent="0.25">
      <c r="A5" s="110"/>
      <c r="B5" s="277" t="s">
        <v>59</v>
      </c>
      <c r="C5" s="278"/>
      <c r="D5" s="278"/>
      <c r="E5" s="278"/>
      <c r="F5" s="278"/>
      <c r="G5" s="278"/>
      <c r="H5" s="279"/>
      <c r="I5" s="12"/>
      <c r="J5" s="12"/>
      <c r="K5" s="12"/>
      <c r="L5" s="12"/>
      <c r="M5" s="12"/>
      <c r="N5" s="12"/>
      <c r="O5" s="9"/>
      <c r="P5" s="111"/>
      <c r="Q5" s="21"/>
      <c r="R5" s="21"/>
    </row>
    <row r="6" spans="1:18" ht="18" x14ac:dyDescent="0.35">
      <c r="A6" s="110"/>
      <c r="B6" s="7" t="s">
        <v>11</v>
      </c>
      <c r="C6" s="118">
        <v>15</v>
      </c>
      <c r="D6" s="2" t="s">
        <v>12</v>
      </c>
      <c r="E6" s="274" t="s">
        <v>13</v>
      </c>
      <c r="F6" s="275"/>
      <c r="G6" s="275"/>
      <c r="H6" s="276"/>
      <c r="I6" s="12"/>
      <c r="J6" s="209" t="s">
        <v>243</v>
      </c>
      <c r="K6" s="12"/>
      <c r="L6" s="187" t="s">
        <v>224</v>
      </c>
      <c r="M6" s="220"/>
      <c r="N6" s="220"/>
      <c r="O6" s="188"/>
      <c r="P6" s="111"/>
      <c r="R6" s="21"/>
    </row>
    <row r="7" spans="1:18" ht="18" x14ac:dyDescent="0.35">
      <c r="A7" s="110"/>
      <c r="B7" s="7" t="s">
        <v>9</v>
      </c>
      <c r="C7" s="118">
        <v>3000</v>
      </c>
      <c r="D7" s="2" t="s">
        <v>16</v>
      </c>
      <c r="E7" s="274" t="s">
        <v>17</v>
      </c>
      <c r="F7" s="275"/>
      <c r="G7" s="275"/>
      <c r="H7" s="276"/>
      <c r="I7" s="12"/>
      <c r="J7" s="210"/>
      <c r="K7" s="12"/>
      <c r="L7" s="120"/>
      <c r="M7" s="121"/>
      <c r="N7" s="121"/>
      <c r="O7" s="122"/>
      <c r="P7" s="111"/>
      <c r="R7" s="21"/>
    </row>
    <row r="8" spans="1:18" ht="15" customHeight="1" x14ac:dyDescent="0.25">
      <c r="A8" s="110"/>
      <c r="B8" s="7" t="s">
        <v>14</v>
      </c>
      <c r="C8" s="118">
        <v>0.6</v>
      </c>
      <c r="D8" s="2"/>
      <c r="E8" s="274" t="s">
        <v>15</v>
      </c>
      <c r="F8" s="275"/>
      <c r="G8" s="275"/>
      <c r="H8" s="276"/>
      <c r="I8" s="12"/>
      <c r="J8" s="210"/>
      <c r="K8" s="12"/>
      <c r="L8" s="22"/>
      <c r="M8" s="21"/>
      <c r="N8" s="21"/>
      <c r="O8" s="23"/>
      <c r="P8" s="111"/>
      <c r="R8" s="21"/>
    </row>
    <row r="9" spans="1:18" ht="17.25" customHeight="1" x14ac:dyDescent="0.25">
      <c r="A9" s="110"/>
      <c r="B9" s="17" t="s">
        <v>244</v>
      </c>
      <c r="C9" s="119">
        <v>35</v>
      </c>
      <c r="D9" s="2" t="s">
        <v>19</v>
      </c>
      <c r="E9" s="274" t="s">
        <v>18</v>
      </c>
      <c r="F9" s="275"/>
      <c r="G9" s="275"/>
      <c r="H9" s="276"/>
      <c r="I9" s="12"/>
      <c r="J9" s="210"/>
      <c r="K9" s="12"/>
      <c r="L9" s="8"/>
      <c r="M9" s="12"/>
      <c r="N9" s="12"/>
      <c r="O9" s="9"/>
      <c r="P9" s="111"/>
      <c r="R9" s="21"/>
    </row>
    <row r="10" spans="1:18" s="16" customFormat="1" ht="18" customHeight="1" x14ac:dyDescent="0.25">
      <c r="A10" s="106"/>
      <c r="B10" s="17" t="s">
        <v>157</v>
      </c>
      <c r="C10" s="19">
        <f>(141.5/(131.5+C9))</f>
        <v>0.8498498498498499</v>
      </c>
      <c r="D10" s="18"/>
      <c r="E10" s="274" t="s">
        <v>143</v>
      </c>
      <c r="F10" s="275"/>
      <c r="G10" s="275"/>
      <c r="H10" s="276"/>
      <c r="I10" s="21"/>
      <c r="J10" s="210"/>
      <c r="K10" s="12"/>
      <c r="L10" s="8"/>
      <c r="M10" s="12"/>
      <c r="N10" s="12"/>
      <c r="O10" s="9"/>
      <c r="P10" s="100"/>
      <c r="R10" s="21"/>
    </row>
    <row r="11" spans="1:18" ht="15" customHeight="1" x14ac:dyDescent="0.25">
      <c r="A11" s="110"/>
      <c r="B11" s="7" t="s">
        <v>3</v>
      </c>
      <c r="C11" s="118">
        <v>985</v>
      </c>
      <c r="D11" s="2" t="s">
        <v>20</v>
      </c>
      <c r="E11" s="274" t="s">
        <v>21</v>
      </c>
      <c r="F11" s="275"/>
      <c r="G11" s="275"/>
      <c r="H11" s="276"/>
      <c r="I11" s="12"/>
      <c r="J11" s="210"/>
      <c r="K11" s="12"/>
      <c r="L11" s="8"/>
      <c r="M11" s="12"/>
      <c r="N11" s="12"/>
      <c r="O11" s="9"/>
      <c r="P11" s="111"/>
      <c r="R11" s="21"/>
    </row>
    <row r="12" spans="1:18" ht="17.25" customHeight="1" x14ac:dyDescent="0.25">
      <c r="A12" s="110"/>
      <c r="B12" s="7" t="s">
        <v>245</v>
      </c>
      <c r="C12" s="118">
        <v>60</v>
      </c>
      <c r="D12" s="2" t="s">
        <v>23</v>
      </c>
      <c r="E12" s="274" t="s">
        <v>22</v>
      </c>
      <c r="F12" s="275"/>
      <c r="G12" s="275"/>
      <c r="H12" s="276"/>
      <c r="I12" s="12"/>
      <c r="J12" s="210"/>
      <c r="K12" s="12"/>
      <c r="L12" s="8"/>
      <c r="M12" s="12"/>
      <c r="N12" s="12"/>
      <c r="O12" s="9"/>
      <c r="P12" s="111"/>
      <c r="R12" s="21"/>
    </row>
    <row r="13" spans="1:18" ht="17.25" customHeight="1" x14ac:dyDescent="0.25">
      <c r="A13" s="110"/>
      <c r="B13" s="7" t="s">
        <v>4</v>
      </c>
      <c r="C13" s="3">
        <f>C12+459.67</f>
        <v>519.67000000000007</v>
      </c>
      <c r="D13" s="2" t="s">
        <v>24</v>
      </c>
      <c r="E13" s="274" t="s">
        <v>22</v>
      </c>
      <c r="F13" s="275"/>
      <c r="G13" s="275"/>
      <c r="H13" s="276"/>
      <c r="I13" s="12"/>
      <c r="J13" s="210"/>
      <c r="K13" s="12"/>
      <c r="L13" s="8"/>
      <c r="M13" s="12"/>
      <c r="N13" s="12"/>
      <c r="O13" s="9"/>
      <c r="P13" s="111"/>
      <c r="R13" s="21"/>
    </row>
    <row r="14" spans="1:18" ht="15" customHeight="1" x14ac:dyDescent="0.25">
      <c r="A14" s="110"/>
      <c r="B14" s="7" t="s">
        <v>10</v>
      </c>
      <c r="C14" s="118">
        <v>3</v>
      </c>
      <c r="D14" s="2" t="s">
        <v>25</v>
      </c>
      <c r="E14" s="274" t="s">
        <v>103</v>
      </c>
      <c r="F14" s="275"/>
      <c r="G14" s="275"/>
      <c r="H14" s="276"/>
      <c r="I14" s="12"/>
      <c r="J14" s="210"/>
      <c r="K14" s="12"/>
      <c r="L14" s="8"/>
      <c r="M14" s="12"/>
      <c r="N14" s="12"/>
      <c r="O14" s="9"/>
      <c r="P14" s="111"/>
      <c r="R14" s="21"/>
    </row>
    <row r="15" spans="1:18" ht="15" customHeight="1" x14ac:dyDescent="0.25">
      <c r="A15" s="110"/>
      <c r="B15" s="7" t="s">
        <v>5</v>
      </c>
      <c r="C15" s="118">
        <v>0.84</v>
      </c>
      <c r="D15" s="2"/>
      <c r="E15" s="274" t="s">
        <v>28</v>
      </c>
      <c r="F15" s="275"/>
      <c r="G15" s="275"/>
      <c r="H15" s="276"/>
      <c r="I15" s="12"/>
      <c r="J15" s="210"/>
      <c r="K15" s="12"/>
      <c r="L15" s="8"/>
      <c r="M15" s="12"/>
      <c r="N15" s="12"/>
      <c r="O15" s="9"/>
      <c r="P15" s="111"/>
      <c r="R15" s="21"/>
    </row>
    <row r="16" spans="1:18" ht="18" customHeight="1" x14ac:dyDescent="0.35">
      <c r="A16" s="110"/>
      <c r="B16" s="7" t="s">
        <v>8</v>
      </c>
      <c r="C16" s="118">
        <v>1.2999999999999999E-2</v>
      </c>
      <c r="D16" s="2" t="s">
        <v>29</v>
      </c>
      <c r="E16" s="274" t="s">
        <v>30</v>
      </c>
      <c r="F16" s="275"/>
      <c r="G16" s="275"/>
      <c r="H16" s="276"/>
      <c r="I16" s="12"/>
      <c r="J16" s="210"/>
      <c r="K16" s="12"/>
      <c r="L16" s="8"/>
      <c r="M16" s="12"/>
      <c r="N16" s="12"/>
      <c r="O16" s="9"/>
      <c r="P16" s="111"/>
      <c r="R16" s="21"/>
    </row>
    <row r="17" spans="1:18" ht="18" customHeight="1" x14ac:dyDescent="0.35">
      <c r="A17" s="110"/>
      <c r="B17" s="7" t="s">
        <v>1</v>
      </c>
      <c r="C17" s="118">
        <v>100</v>
      </c>
      <c r="D17" s="2" t="s">
        <v>37</v>
      </c>
      <c r="E17" s="274" t="s">
        <v>38</v>
      </c>
      <c r="F17" s="275"/>
      <c r="G17" s="275"/>
      <c r="H17" s="276"/>
      <c r="I17" s="12"/>
      <c r="J17" s="210"/>
      <c r="K17" s="12"/>
      <c r="L17" s="22"/>
      <c r="M17" s="21"/>
      <c r="N17" s="21"/>
      <c r="O17" s="23"/>
      <c r="P17" s="111"/>
      <c r="R17" s="21"/>
    </row>
    <row r="18" spans="1:18" ht="18" customHeight="1" x14ac:dyDescent="0.35">
      <c r="A18" s="110"/>
      <c r="B18" s="7" t="s">
        <v>129</v>
      </c>
      <c r="C18" s="126">
        <v>0.5</v>
      </c>
      <c r="D18" s="2"/>
      <c r="E18" s="274" t="s">
        <v>128</v>
      </c>
      <c r="F18" s="275"/>
      <c r="G18" s="275"/>
      <c r="H18" s="276"/>
      <c r="I18" s="12"/>
      <c r="J18" s="211"/>
      <c r="K18" s="12"/>
      <c r="L18" s="26"/>
      <c r="M18" s="27"/>
      <c r="N18" s="27"/>
      <c r="O18" s="28"/>
      <c r="P18" s="111"/>
      <c r="R18" s="21"/>
    </row>
    <row r="19" spans="1:18" x14ac:dyDescent="0.25">
      <c r="A19" s="110"/>
      <c r="B19" s="108"/>
      <c r="C19" s="12"/>
      <c r="D19" s="12"/>
      <c r="E19" s="229"/>
      <c r="F19" s="229"/>
      <c r="G19" s="12"/>
      <c r="H19" s="12"/>
      <c r="I19" s="12"/>
      <c r="J19" s="12"/>
      <c r="K19" s="12"/>
      <c r="L19" s="12"/>
      <c r="M19" s="12"/>
      <c r="N19" s="12"/>
      <c r="O19" s="9"/>
      <c r="P19" s="111"/>
      <c r="R19" s="21"/>
    </row>
    <row r="20" spans="1:18" x14ac:dyDescent="0.25">
      <c r="A20" s="110"/>
      <c r="B20" s="245" t="s">
        <v>60</v>
      </c>
      <c r="C20" s="246"/>
      <c r="D20" s="246"/>
      <c r="E20" s="246"/>
      <c r="F20" s="246"/>
      <c r="G20" s="246"/>
      <c r="H20" s="247"/>
      <c r="I20" s="12"/>
      <c r="J20" s="245" t="s">
        <v>61</v>
      </c>
      <c r="K20" s="246"/>
      <c r="L20" s="246"/>
      <c r="M20" s="246"/>
      <c r="N20" s="246"/>
      <c r="O20" s="247"/>
      <c r="P20" s="111"/>
      <c r="R20" s="21"/>
    </row>
    <row r="21" spans="1:18" x14ac:dyDescent="0.25">
      <c r="A21" s="110"/>
      <c r="B21" s="109" t="s">
        <v>26</v>
      </c>
      <c r="C21" s="12" t="s">
        <v>27</v>
      </c>
      <c r="D21" s="12"/>
      <c r="E21" s="87"/>
      <c r="F21" s="87"/>
      <c r="G21" s="12"/>
      <c r="H21" s="12"/>
      <c r="I21" s="12"/>
      <c r="J21" s="8"/>
      <c r="K21" s="12"/>
      <c r="L21" s="12"/>
      <c r="M21" s="12"/>
      <c r="N21" s="12"/>
      <c r="O21" s="9"/>
      <c r="P21" s="111"/>
      <c r="R21" s="21"/>
    </row>
    <row r="22" spans="1:18" ht="18.75" customHeight="1" x14ac:dyDescent="0.35">
      <c r="A22" s="110"/>
      <c r="B22" s="7" t="s">
        <v>0</v>
      </c>
      <c r="C22" s="4">
        <f>2.7*C8*C11/C13/C15</f>
        <v>3.6554791639749395</v>
      </c>
      <c r="D22" s="2" t="s">
        <v>31</v>
      </c>
      <c r="E22" s="274" t="s">
        <v>69</v>
      </c>
      <c r="F22" s="275"/>
      <c r="G22" s="275"/>
      <c r="H22" s="276"/>
      <c r="I22" s="12"/>
      <c r="J22" s="8"/>
      <c r="K22" s="12"/>
      <c r="L22" s="12"/>
      <c r="M22" s="12"/>
      <c r="N22" s="12"/>
      <c r="O22" s="9"/>
      <c r="P22" s="111"/>
      <c r="R22" s="21"/>
    </row>
    <row r="23" spans="1:18" ht="18.75" customHeight="1" x14ac:dyDescent="0.35">
      <c r="A23" s="110"/>
      <c r="B23" s="7" t="s">
        <v>32</v>
      </c>
      <c r="C23" s="4">
        <f>62.4*C10</f>
        <v>53.030630630630633</v>
      </c>
      <c r="D23" s="2" t="s">
        <v>31</v>
      </c>
      <c r="E23" s="274" t="s">
        <v>70</v>
      </c>
      <c r="F23" s="275"/>
      <c r="G23" s="275"/>
      <c r="H23" s="276"/>
      <c r="I23" s="12"/>
      <c r="J23" s="8"/>
      <c r="K23" s="12"/>
      <c r="L23" s="12"/>
      <c r="M23" s="12"/>
      <c r="N23" s="12"/>
      <c r="O23" s="9"/>
      <c r="P23" s="111"/>
    </row>
    <row r="24" spans="1:18" x14ac:dyDescent="0.25">
      <c r="A24" s="110"/>
      <c r="B24" s="8"/>
      <c r="C24" s="12"/>
      <c r="D24" s="12"/>
      <c r="E24" s="229"/>
      <c r="F24" s="229"/>
      <c r="G24" s="12"/>
      <c r="H24" s="12"/>
      <c r="I24" s="12"/>
      <c r="J24" s="8"/>
      <c r="K24" s="12"/>
      <c r="L24" s="12"/>
      <c r="M24" s="12"/>
      <c r="N24" s="12"/>
      <c r="O24" s="9"/>
      <c r="P24" s="111"/>
    </row>
    <row r="25" spans="1:18" ht="18" x14ac:dyDescent="0.35">
      <c r="A25" s="110"/>
      <c r="B25" s="109" t="s">
        <v>33</v>
      </c>
      <c r="C25" s="12" t="s">
        <v>34</v>
      </c>
      <c r="D25" s="12"/>
      <c r="E25" s="229"/>
      <c r="F25" s="229"/>
      <c r="G25" s="12"/>
      <c r="H25" s="12"/>
      <c r="I25" s="12"/>
      <c r="J25" s="8"/>
      <c r="K25" s="12"/>
      <c r="L25" s="12"/>
      <c r="M25" s="12"/>
      <c r="N25" s="12"/>
      <c r="O25" s="9"/>
      <c r="P25" s="111"/>
    </row>
    <row r="26" spans="1:18" ht="18" customHeight="1" x14ac:dyDescent="0.35">
      <c r="A26" s="110"/>
      <c r="B26" s="2" t="s">
        <v>35</v>
      </c>
      <c r="C26" s="119">
        <v>1.2174949925832663</v>
      </c>
      <c r="D26" s="2" t="s">
        <v>36</v>
      </c>
      <c r="E26" s="274" t="s">
        <v>43</v>
      </c>
      <c r="F26" s="275"/>
      <c r="G26" s="275"/>
      <c r="H26" s="276"/>
      <c r="I26" s="12"/>
      <c r="J26" s="8"/>
      <c r="K26" s="12"/>
      <c r="L26" s="12"/>
      <c r="M26" s="12"/>
      <c r="N26" s="12"/>
      <c r="O26" s="9"/>
      <c r="P26" s="111"/>
    </row>
    <row r="27" spans="1:18" ht="15" customHeight="1" x14ac:dyDescent="0.25">
      <c r="A27" s="110"/>
      <c r="B27" s="2" t="s">
        <v>2</v>
      </c>
      <c r="C27" s="6">
        <f>0.01186*SQRT((C23-C22)/C22*C17/C26)</f>
        <v>0.39503280380103928</v>
      </c>
      <c r="D27" s="2" t="s">
        <v>39</v>
      </c>
      <c r="E27" s="274" t="s">
        <v>40</v>
      </c>
      <c r="F27" s="275"/>
      <c r="G27" s="275"/>
      <c r="H27" s="276"/>
      <c r="I27" s="12"/>
      <c r="J27" s="8"/>
      <c r="K27" s="12"/>
      <c r="L27" s="12"/>
      <c r="M27" s="12"/>
      <c r="N27" s="12"/>
      <c r="O27" s="9"/>
      <c r="P27" s="111"/>
    </row>
    <row r="28" spans="1:18" x14ac:dyDescent="0.25">
      <c r="A28" s="110"/>
      <c r="B28" s="2" t="s">
        <v>7</v>
      </c>
      <c r="C28" s="3">
        <f>0.0049*C22*C17*C27/C16</f>
        <v>54.428980758218209</v>
      </c>
      <c r="D28" s="2"/>
      <c r="E28" s="274" t="s">
        <v>41</v>
      </c>
      <c r="F28" s="275"/>
      <c r="G28" s="275"/>
      <c r="H28" s="276"/>
      <c r="I28" s="12"/>
      <c r="J28" s="8"/>
      <c r="K28" s="12"/>
      <c r="L28" s="12"/>
      <c r="M28" s="12"/>
      <c r="N28" s="12"/>
      <c r="O28" s="9"/>
      <c r="P28" s="111"/>
    </row>
    <row r="29" spans="1:18" ht="15" customHeight="1" x14ac:dyDescent="0.35">
      <c r="A29" s="110"/>
      <c r="B29" s="2" t="s">
        <v>35</v>
      </c>
      <c r="C29" s="6">
        <f>0.34+3/C28^0.5+24/C28</f>
        <v>1.1875778740235552</v>
      </c>
      <c r="D29" s="2"/>
      <c r="E29" s="94"/>
      <c r="F29" s="95"/>
      <c r="G29" s="95"/>
      <c r="H29" s="96"/>
      <c r="I29" s="12"/>
      <c r="J29" s="8"/>
      <c r="K29" s="12"/>
      <c r="L29" s="12"/>
      <c r="M29" s="12"/>
      <c r="N29" s="12"/>
      <c r="O29" s="9"/>
      <c r="P29" s="111"/>
    </row>
    <row r="30" spans="1:18" ht="30" customHeight="1" x14ac:dyDescent="0.25">
      <c r="A30" s="110"/>
      <c r="B30" s="2" t="s">
        <v>42</v>
      </c>
      <c r="C30" s="6">
        <f>(C26-C29)^2</f>
        <v>8.9503398291581227E-4</v>
      </c>
      <c r="D30" s="2"/>
      <c r="E30" s="274" t="s">
        <v>63</v>
      </c>
      <c r="F30" s="275"/>
      <c r="G30" s="275"/>
      <c r="H30" s="276"/>
      <c r="I30" s="12"/>
      <c r="J30" s="8"/>
      <c r="K30" s="12"/>
      <c r="L30" s="12"/>
      <c r="M30" s="12"/>
      <c r="N30" s="12"/>
      <c r="O30" s="9"/>
      <c r="P30" s="111"/>
    </row>
    <row r="31" spans="1:18" x14ac:dyDescent="0.25">
      <c r="A31" s="110"/>
      <c r="B31" s="8"/>
      <c r="C31" s="12"/>
      <c r="D31" s="12"/>
      <c r="E31" s="229"/>
      <c r="F31" s="229"/>
      <c r="G31" s="12"/>
      <c r="H31" s="12"/>
      <c r="I31" s="12"/>
      <c r="J31" s="8"/>
      <c r="K31" s="12"/>
      <c r="L31" s="12"/>
      <c r="M31" s="12"/>
      <c r="N31" s="12"/>
      <c r="O31" s="9"/>
      <c r="P31" s="111"/>
    </row>
    <row r="32" spans="1:18" x14ac:dyDescent="0.25">
      <c r="A32" s="110"/>
      <c r="B32" s="109" t="s">
        <v>44</v>
      </c>
      <c r="C32" s="12" t="s">
        <v>45</v>
      </c>
      <c r="D32" s="12"/>
      <c r="E32" s="87"/>
      <c r="F32" s="87"/>
      <c r="G32" s="12"/>
      <c r="H32" s="12"/>
      <c r="I32" s="12"/>
      <c r="J32" s="8"/>
      <c r="K32" s="12"/>
      <c r="L32" s="12"/>
      <c r="M32" s="12"/>
      <c r="N32" s="12"/>
      <c r="O32" s="9"/>
      <c r="P32" s="111"/>
    </row>
    <row r="33" spans="1:16" x14ac:dyDescent="0.25">
      <c r="A33" s="110"/>
      <c r="B33" s="2" t="s">
        <v>64</v>
      </c>
      <c r="C33" s="3">
        <f>422*(C6*C13*C15/C11)*SQRT(C22/(C23-C22)*(C29/C17))</f>
        <v>83.180858144598432</v>
      </c>
      <c r="D33" s="2" t="s">
        <v>130</v>
      </c>
      <c r="E33" s="274"/>
      <c r="F33" s="275"/>
      <c r="G33" s="275"/>
      <c r="H33" s="276"/>
      <c r="I33" s="12"/>
      <c r="J33" s="8"/>
      <c r="K33" s="12"/>
      <c r="L33" s="12"/>
      <c r="M33" s="12"/>
      <c r="N33" s="12"/>
      <c r="O33" s="9"/>
      <c r="P33" s="111"/>
    </row>
    <row r="34" spans="1:16" x14ac:dyDescent="0.25">
      <c r="A34" s="110"/>
      <c r="B34" s="8"/>
      <c r="C34" s="12"/>
      <c r="D34" s="12"/>
      <c r="E34" s="229"/>
      <c r="F34" s="229"/>
      <c r="G34" s="12"/>
      <c r="H34" s="12"/>
      <c r="I34" s="12"/>
      <c r="J34" s="8"/>
      <c r="K34" s="12"/>
      <c r="L34" s="12"/>
      <c r="M34" s="12"/>
      <c r="N34" s="12"/>
      <c r="O34" s="9"/>
      <c r="P34" s="111"/>
    </row>
    <row r="35" spans="1:16" x14ac:dyDescent="0.25">
      <c r="A35" s="110"/>
      <c r="B35" s="109" t="s">
        <v>50</v>
      </c>
      <c r="C35" s="12" t="s">
        <v>51</v>
      </c>
      <c r="D35" s="12"/>
      <c r="E35" s="87"/>
      <c r="F35" s="87"/>
      <c r="G35" s="12"/>
      <c r="H35" s="12"/>
      <c r="I35" s="12"/>
      <c r="J35" s="8"/>
      <c r="K35" s="12"/>
      <c r="L35" s="12"/>
      <c r="M35" s="12"/>
      <c r="N35" s="12"/>
      <c r="O35" s="9"/>
      <c r="P35" s="111"/>
    </row>
    <row r="36" spans="1:16" ht="17.25" x14ac:dyDescent="0.25">
      <c r="A36" s="110"/>
      <c r="B36" s="2" t="s">
        <v>65</v>
      </c>
      <c r="C36" s="2">
        <f>1.428/0.5*C18*C7*C14</f>
        <v>12852</v>
      </c>
      <c r="D36" s="2" t="s">
        <v>66</v>
      </c>
      <c r="E36" s="229"/>
      <c r="F36" s="229"/>
      <c r="G36" s="12"/>
      <c r="H36" s="12"/>
      <c r="I36" s="12"/>
      <c r="J36" s="8"/>
      <c r="K36" s="12"/>
      <c r="L36" s="12"/>
      <c r="M36" s="12"/>
      <c r="N36" s="12"/>
      <c r="O36" s="9"/>
      <c r="P36" s="111"/>
    </row>
    <row r="37" spans="1:16" x14ac:dyDescent="0.25">
      <c r="A37" s="110"/>
      <c r="B37" s="8"/>
      <c r="C37" s="12"/>
      <c r="D37" s="12"/>
      <c r="E37" s="12"/>
      <c r="F37" s="12"/>
      <c r="G37" s="12"/>
      <c r="H37" s="12"/>
      <c r="I37" s="12"/>
      <c r="J37" s="8"/>
      <c r="K37" s="12"/>
      <c r="L37" s="12"/>
      <c r="M37" s="12"/>
      <c r="N37" s="12"/>
      <c r="O37" s="9"/>
      <c r="P37" s="111"/>
    </row>
    <row r="38" spans="1:16" x14ac:dyDescent="0.25">
      <c r="A38" s="110"/>
      <c r="B38" s="8" t="s">
        <v>62</v>
      </c>
      <c r="C38" s="12"/>
      <c r="D38" s="12"/>
      <c r="E38" s="12"/>
      <c r="F38" s="12"/>
      <c r="G38" s="12"/>
      <c r="H38" s="12"/>
      <c r="I38" s="12"/>
      <c r="J38" s="8"/>
      <c r="K38" s="12"/>
      <c r="L38" s="12"/>
      <c r="M38" s="12"/>
      <c r="N38" s="12"/>
      <c r="O38" s="9"/>
      <c r="P38" s="111"/>
    </row>
    <row r="39" spans="1:16" x14ac:dyDescent="0.25">
      <c r="A39" s="110"/>
      <c r="B39" s="245" t="s">
        <v>383</v>
      </c>
      <c r="C39" s="246"/>
      <c r="D39" s="246"/>
      <c r="E39" s="246"/>
      <c r="F39" s="246"/>
      <c r="G39" s="246"/>
      <c r="H39" s="247"/>
      <c r="I39" s="12"/>
      <c r="J39" s="8"/>
      <c r="K39" s="12"/>
      <c r="L39" s="12"/>
      <c r="M39" s="12"/>
      <c r="N39" s="12"/>
      <c r="O39" s="9"/>
      <c r="P39" s="111"/>
    </row>
    <row r="40" spans="1:16" s="41" customFormat="1" ht="49.5" x14ac:dyDescent="0.35">
      <c r="A40" s="124"/>
      <c r="B40" s="169" t="s">
        <v>53</v>
      </c>
      <c r="C40" s="169" t="s">
        <v>429</v>
      </c>
      <c r="D40" s="170" t="s">
        <v>430</v>
      </c>
      <c r="E40" s="169" t="s">
        <v>431</v>
      </c>
      <c r="F40" s="169" t="s">
        <v>432</v>
      </c>
      <c r="G40" s="170" t="s">
        <v>167</v>
      </c>
      <c r="H40" s="170" t="s">
        <v>433</v>
      </c>
      <c r="I40" s="38"/>
      <c r="J40" s="39"/>
      <c r="K40" s="38"/>
      <c r="L40" s="38"/>
      <c r="M40" s="38"/>
      <c r="N40" s="38"/>
      <c r="O40" s="40"/>
      <c r="P40" s="125"/>
    </row>
    <row r="41" spans="1:16" ht="30" x14ac:dyDescent="0.25">
      <c r="A41" s="110"/>
      <c r="B41" s="118">
        <v>6</v>
      </c>
      <c r="C41" s="6">
        <f>C$33/B41</f>
        <v>13.863476357433072</v>
      </c>
      <c r="D41" s="6">
        <f>C41+B41/12</f>
        <v>14.363476357433072</v>
      </c>
      <c r="E41" s="6">
        <f>C$36/B41^2</f>
        <v>357</v>
      </c>
      <c r="F41" s="4">
        <f>IF(B41&gt;30, (2.5+E41), (4/3*E41))</f>
        <v>476</v>
      </c>
      <c r="G41" s="45" t="str">
        <f>IF(D41&gt;F41, "Gas capacity", "Liquid Capacity")</f>
        <v>Liquid Capacity</v>
      </c>
      <c r="H41" s="6">
        <f>IF(G41="Liquid Capacity",(12*F41/B41),(12*D41/B41))</f>
        <v>952</v>
      </c>
      <c r="I41" s="37"/>
      <c r="J41" s="46"/>
      <c r="K41" s="13"/>
      <c r="L41" s="13"/>
      <c r="M41" s="13"/>
      <c r="N41" s="13"/>
      <c r="O41" s="11"/>
      <c r="P41" s="111"/>
    </row>
    <row r="42" spans="1:16" ht="30" x14ac:dyDescent="0.25">
      <c r="A42" s="110"/>
      <c r="B42" s="118">
        <v>12</v>
      </c>
      <c r="C42" s="6">
        <f>C$33/B42</f>
        <v>6.931738178716536</v>
      </c>
      <c r="D42" s="6">
        <f>C42+B42/12</f>
        <v>7.931738178716536</v>
      </c>
      <c r="E42" s="6">
        <f>C$36/B42^2</f>
        <v>89.25</v>
      </c>
      <c r="F42" s="4">
        <f t="shared" ref="F42:F51" si="0">IF(B42&gt;30, (2.5+E42), (4/3*E42))</f>
        <v>119</v>
      </c>
      <c r="G42" s="45" t="str">
        <f t="shared" ref="G42:G51" si="1">IF(D42&gt;F42, "Gas capacity", "Liquid Capacity")</f>
        <v>Liquid Capacity</v>
      </c>
      <c r="H42" s="6">
        <f t="shared" ref="H42:H51" si="2">IF(G42="Liquid Capacity",(12*F42/B42),(12*D42/B42))</f>
        <v>119</v>
      </c>
      <c r="I42" s="37"/>
      <c r="J42" s="37"/>
      <c r="K42" s="37"/>
      <c r="L42" s="12"/>
      <c r="M42" s="12"/>
      <c r="N42" s="12"/>
      <c r="O42" s="9"/>
      <c r="P42" s="111"/>
    </row>
    <row r="43" spans="1:16" ht="30" x14ac:dyDescent="0.25">
      <c r="A43" s="110"/>
      <c r="B43" s="118">
        <v>24</v>
      </c>
      <c r="C43" s="6">
        <f>C$33/B43</f>
        <v>3.465869089358268</v>
      </c>
      <c r="D43" s="6">
        <f>C43+B43/12</f>
        <v>5.465869089358268</v>
      </c>
      <c r="E43" s="6">
        <f>C$36/B43^2</f>
        <v>22.3125</v>
      </c>
      <c r="F43" s="4">
        <f t="shared" si="0"/>
        <v>29.75</v>
      </c>
      <c r="G43" s="45" t="str">
        <f t="shared" si="1"/>
        <v>Liquid Capacity</v>
      </c>
      <c r="H43" s="6">
        <f t="shared" si="2"/>
        <v>14.875</v>
      </c>
      <c r="I43" s="37"/>
      <c r="J43" s="37"/>
      <c r="K43" s="195" t="s">
        <v>391</v>
      </c>
      <c r="L43" s="195"/>
      <c r="M43" s="195"/>
      <c r="N43" s="195"/>
      <c r="O43" s="195"/>
      <c r="P43" s="111"/>
    </row>
    <row r="44" spans="1:16" ht="30" x14ac:dyDescent="0.25">
      <c r="A44" s="110"/>
      <c r="B44" s="118">
        <v>30</v>
      </c>
      <c r="C44" s="6">
        <f>C$33/B44</f>
        <v>2.7726952714866142</v>
      </c>
      <c r="D44" s="6">
        <f>C44+B44/12</f>
        <v>5.2726952714866142</v>
      </c>
      <c r="E44" s="6">
        <f>C$36/B44^2</f>
        <v>14.28</v>
      </c>
      <c r="F44" s="4">
        <f t="shared" si="0"/>
        <v>19.04</v>
      </c>
      <c r="G44" s="45" t="str">
        <f t="shared" si="1"/>
        <v>Liquid Capacity</v>
      </c>
      <c r="H44" s="6">
        <f t="shared" si="2"/>
        <v>7.6159999999999997</v>
      </c>
      <c r="I44" s="37"/>
      <c r="J44" s="150"/>
      <c r="K44" s="250" t="s">
        <v>91</v>
      </c>
      <c r="L44" s="251"/>
      <c r="M44" s="252"/>
      <c r="N44" s="248" t="s">
        <v>109</v>
      </c>
      <c r="O44" s="249"/>
      <c r="P44" s="111"/>
    </row>
    <row r="45" spans="1:16" ht="30" x14ac:dyDescent="0.25">
      <c r="A45" s="110"/>
      <c r="B45" s="118">
        <v>36</v>
      </c>
      <c r="C45" s="6">
        <f t="shared" ref="C45:C51" si="3">C$33/B45</f>
        <v>2.3105793929055118</v>
      </c>
      <c r="D45" s="6">
        <f t="shared" ref="D45:D51" si="4">C45+B45/12</f>
        <v>5.3105793929055114</v>
      </c>
      <c r="E45" s="6">
        <f t="shared" ref="E45:E51" si="5">C$36/B45^2</f>
        <v>9.9166666666666661</v>
      </c>
      <c r="F45" s="4">
        <f t="shared" si="0"/>
        <v>12.416666666666666</v>
      </c>
      <c r="G45" s="45" t="str">
        <f t="shared" si="1"/>
        <v>Liquid Capacity</v>
      </c>
      <c r="H45" s="6">
        <f t="shared" si="2"/>
        <v>4.1388888888888893</v>
      </c>
      <c r="I45" s="37"/>
      <c r="J45" s="150"/>
      <c r="K45" s="253" t="s">
        <v>92</v>
      </c>
      <c r="L45" s="254"/>
      <c r="M45" s="255"/>
      <c r="N45" s="232">
        <v>1</v>
      </c>
      <c r="O45" s="232"/>
      <c r="P45" s="111"/>
    </row>
    <row r="46" spans="1:16" ht="30" x14ac:dyDescent="0.25">
      <c r="A46" s="110"/>
      <c r="B46" s="118">
        <v>42</v>
      </c>
      <c r="C46" s="6">
        <f t="shared" si="3"/>
        <v>1.9804966224904388</v>
      </c>
      <c r="D46" s="6">
        <f t="shared" si="4"/>
        <v>5.4804966224904383</v>
      </c>
      <c r="E46" s="6">
        <f t="shared" si="5"/>
        <v>7.2857142857142856</v>
      </c>
      <c r="F46" s="4">
        <f t="shared" si="0"/>
        <v>9.7857142857142847</v>
      </c>
      <c r="G46" s="45" t="str">
        <f t="shared" si="1"/>
        <v>Liquid Capacity</v>
      </c>
      <c r="H46" s="6">
        <f t="shared" si="2"/>
        <v>2.7959183673469385</v>
      </c>
      <c r="I46" s="37"/>
      <c r="J46" s="150"/>
      <c r="K46" s="253" t="s">
        <v>93</v>
      </c>
      <c r="L46" s="254"/>
      <c r="M46" s="255"/>
      <c r="N46" s="232" t="s">
        <v>95</v>
      </c>
      <c r="O46" s="232"/>
      <c r="P46" s="111"/>
    </row>
    <row r="47" spans="1:16" ht="30" x14ac:dyDescent="0.25">
      <c r="A47" s="110"/>
      <c r="B47" s="118">
        <v>48</v>
      </c>
      <c r="C47" s="6">
        <f t="shared" si="3"/>
        <v>1.732934544679134</v>
      </c>
      <c r="D47" s="6">
        <f t="shared" si="4"/>
        <v>5.732934544679134</v>
      </c>
      <c r="E47" s="6">
        <f t="shared" si="5"/>
        <v>5.578125</v>
      </c>
      <c r="F47" s="4">
        <f t="shared" si="0"/>
        <v>8.078125</v>
      </c>
      <c r="G47" s="45" t="str">
        <f t="shared" si="1"/>
        <v>Liquid Capacity</v>
      </c>
      <c r="H47" s="6">
        <f t="shared" si="2"/>
        <v>2.01953125</v>
      </c>
      <c r="I47" s="37"/>
      <c r="J47" s="150"/>
      <c r="K47" s="253" t="s">
        <v>94</v>
      </c>
      <c r="L47" s="254"/>
      <c r="M47" s="255"/>
      <c r="N47" s="232" t="s">
        <v>96</v>
      </c>
      <c r="O47" s="232"/>
      <c r="P47" s="111"/>
    </row>
    <row r="48" spans="1:16" ht="30" x14ac:dyDescent="0.25">
      <c r="A48" s="110"/>
      <c r="B48" s="118">
        <v>54</v>
      </c>
      <c r="C48" s="6">
        <f t="shared" si="3"/>
        <v>1.5403862619370079</v>
      </c>
      <c r="D48" s="6">
        <f t="shared" si="4"/>
        <v>6.0403862619370079</v>
      </c>
      <c r="E48" s="6">
        <f t="shared" si="5"/>
        <v>4.4074074074074074</v>
      </c>
      <c r="F48" s="4">
        <f t="shared" si="0"/>
        <v>6.9074074074074074</v>
      </c>
      <c r="G48" s="45" t="str">
        <f t="shared" si="1"/>
        <v>Liquid Capacity</v>
      </c>
      <c r="H48" s="6">
        <f t="shared" si="2"/>
        <v>1.5349794238683128</v>
      </c>
      <c r="I48" s="37"/>
      <c r="J48" s="37"/>
      <c r="K48" s="37"/>
      <c r="L48" s="12"/>
      <c r="M48" s="12"/>
      <c r="N48" s="12"/>
      <c r="O48" s="9"/>
      <c r="P48" s="111"/>
    </row>
    <row r="49" spans="1:16" ht="30" x14ac:dyDescent="0.25">
      <c r="A49" s="110"/>
      <c r="B49" s="118">
        <v>60</v>
      </c>
      <c r="C49" s="6">
        <f t="shared" si="3"/>
        <v>1.3863476357433071</v>
      </c>
      <c r="D49" s="6">
        <f t="shared" si="4"/>
        <v>6.3863476357433075</v>
      </c>
      <c r="E49" s="6">
        <f t="shared" si="5"/>
        <v>3.57</v>
      </c>
      <c r="F49" s="4">
        <f t="shared" si="0"/>
        <v>6.07</v>
      </c>
      <c r="G49" s="45" t="str">
        <f t="shared" si="1"/>
        <v>Gas capacity</v>
      </c>
      <c r="H49" s="6">
        <f t="shared" si="2"/>
        <v>1.2772695271486616</v>
      </c>
      <c r="I49" s="37"/>
      <c r="J49" s="37"/>
      <c r="K49" s="37"/>
      <c r="L49" s="12"/>
      <c r="M49" s="12"/>
      <c r="N49" s="12"/>
      <c r="O49" s="9"/>
      <c r="P49" s="111"/>
    </row>
    <row r="50" spans="1:16" ht="30" x14ac:dyDescent="0.25">
      <c r="A50" s="110"/>
      <c r="B50" s="118">
        <v>66</v>
      </c>
      <c r="C50" s="6">
        <f t="shared" si="3"/>
        <v>1.2603160324939156</v>
      </c>
      <c r="D50" s="6">
        <f t="shared" si="4"/>
        <v>6.7603160324939156</v>
      </c>
      <c r="E50" s="6">
        <f t="shared" si="5"/>
        <v>2.950413223140496</v>
      </c>
      <c r="F50" s="4">
        <f t="shared" si="0"/>
        <v>5.4504132231404956</v>
      </c>
      <c r="G50" s="45" t="str">
        <f t="shared" si="1"/>
        <v>Gas capacity</v>
      </c>
      <c r="H50" s="6">
        <f t="shared" si="2"/>
        <v>1.2291483695443484</v>
      </c>
      <c r="I50" s="37"/>
      <c r="J50" s="37"/>
      <c r="K50" s="37"/>
      <c r="L50" s="12"/>
      <c r="M50" s="12"/>
      <c r="N50" s="12"/>
      <c r="O50" s="9"/>
      <c r="P50" s="111"/>
    </row>
    <row r="51" spans="1:16" ht="30" x14ac:dyDescent="0.25">
      <c r="A51" s="110"/>
      <c r="B51" s="118">
        <v>72</v>
      </c>
      <c r="C51" s="6">
        <f t="shared" si="3"/>
        <v>1.1552896964527559</v>
      </c>
      <c r="D51" s="6">
        <f t="shared" si="4"/>
        <v>7.1552896964527557</v>
      </c>
      <c r="E51" s="6">
        <f t="shared" si="5"/>
        <v>2.4791666666666665</v>
      </c>
      <c r="F51" s="4">
        <f t="shared" si="0"/>
        <v>4.9791666666666661</v>
      </c>
      <c r="G51" s="45" t="str">
        <f t="shared" si="1"/>
        <v>Gas capacity</v>
      </c>
      <c r="H51" s="6">
        <f t="shared" si="2"/>
        <v>1.1925482827421261</v>
      </c>
      <c r="I51" s="37"/>
      <c r="J51" s="37"/>
      <c r="K51" s="37"/>
      <c r="L51" s="12"/>
      <c r="M51" s="12"/>
      <c r="N51" s="12"/>
      <c r="O51" s="9"/>
      <c r="P51" s="111"/>
    </row>
    <row r="52" spans="1:16" x14ac:dyDescent="0.25">
      <c r="A52" s="110"/>
      <c r="B52" s="8"/>
      <c r="C52" s="12"/>
      <c r="D52" s="12"/>
      <c r="E52" s="12"/>
      <c r="F52" s="12"/>
      <c r="G52" s="12"/>
      <c r="H52" s="12"/>
      <c r="I52" s="12"/>
      <c r="J52" s="12"/>
      <c r="K52" s="12"/>
      <c r="L52" s="12"/>
      <c r="M52" s="12"/>
      <c r="N52" s="12"/>
      <c r="O52" s="9"/>
      <c r="P52" s="111"/>
    </row>
    <row r="53" spans="1:16" ht="18" x14ac:dyDescent="0.35">
      <c r="A53" s="110"/>
      <c r="B53" s="139" t="s">
        <v>322</v>
      </c>
      <c r="C53" s="140">
        <v>12.4</v>
      </c>
      <c r="D53" s="139" t="s">
        <v>57</v>
      </c>
      <c r="E53" s="273" t="s">
        <v>386</v>
      </c>
      <c r="F53" s="273"/>
      <c r="G53" s="273"/>
      <c r="H53" s="273"/>
      <c r="I53" s="273"/>
      <c r="J53" s="273"/>
      <c r="K53" s="273"/>
      <c r="L53" s="273"/>
      <c r="M53" s="273"/>
      <c r="N53" s="273"/>
      <c r="O53" s="273"/>
      <c r="P53" s="111"/>
    </row>
    <row r="54" spans="1:16" x14ac:dyDescent="0.25">
      <c r="A54" s="110"/>
      <c r="B54" s="149" t="s">
        <v>55</v>
      </c>
      <c r="C54" s="140">
        <v>4.1399999999999997</v>
      </c>
      <c r="D54" s="149"/>
      <c r="E54" s="273" t="s">
        <v>387</v>
      </c>
      <c r="F54" s="273"/>
      <c r="G54" s="273"/>
      <c r="H54" s="273"/>
      <c r="I54" s="273"/>
      <c r="J54" s="273"/>
      <c r="K54" s="273"/>
      <c r="L54" s="273"/>
      <c r="M54" s="273"/>
      <c r="N54" s="273"/>
      <c r="O54" s="273"/>
      <c r="P54" s="111"/>
    </row>
    <row r="55" spans="1:16" x14ac:dyDescent="0.25">
      <c r="A55" s="110"/>
      <c r="B55" s="139" t="s">
        <v>6</v>
      </c>
      <c r="C55" s="93">
        <v>36</v>
      </c>
      <c r="D55" s="139" t="s">
        <v>48</v>
      </c>
      <c r="E55" s="273" t="s">
        <v>388</v>
      </c>
      <c r="F55" s="273"/>
      <c r="G55" s="273"/>
      <c r="H55" s="273"/>
      <c r="I55" s="273"/>
      <c r="J55" s="273"/>
      <c r="K55" s="273"/>
      <c r="L55" s="273"/>
      <c r="M55" s="273"/>
      <c r="N55" s="273"/>
      <c r="O55" s="273"/>
      <c r="P55" s="111"/>
    </row>
    <row r="56" spans="1:16" x14ac:dyDescent="0.25">
      <c r="A56" s="110"/>
      <c r="B56" s="109"/>
      <c r="C56" s="141"/>
      <c r="D56" s="141"/>
      <c r="E56" s="141"/>
      <c r="F56" s="141"/>
      <c r="G56" s="141"/>
      <c r="H56" s="141"/>
      <c r="I56" s="141"/>
      <c r="J56" s="141"/>
      <c r="K56" s="141"/>
      <c r="L56" s="141"/>
      <c r="M56" s="141"/>
      <c r="N56" s="141"/>
      <c r="O56" s="142"/>
      <c r="P56" s="111"/>
    </row>
    <row r="57" spans="1:16" s="16" customFormat="1" x14ac:dyDescent="0.25">
      <c r="A57" s="106"/>
      <c r="B57" s="195" t="s">
        <v>132</v>
      </c>
      <c r="C57" s="195"/>
      <c r="D57" s="195"/>
      <c r="E57" s="195"/>
      <c r="F57" s="195"/>
      <c r="G57" s="195"/>
      <c r="H57" s="195"/>
      <c r="I57" s="195"/>
      <c r="J57" s="195"/>
      <c r="K57" s="195"/>
      <c r="L57" s="195"/>
      <c r="M57" s="195"/>
      <c r="N57" s="195"/>
      <c r="O57" s="195"/>
      <c r="P57" s="100"/>
    </row>
    <row r="58" spans="1:16" s="16" customFormat="1" ht="15" customHeight="1" x14ac:dyDescent="0.25">
      <c r="A58" s="106"/>
      <c r="B58" s="256" t="s">
        <v>136</v>
      </c>
      <c r="C58" s="256"/>
      <c r="D58" s="256"/>
      <c r="E58" s="256"/>
      <c r="F58" s="256"/>
      <c r="G58" s="256"/>
      <c r="H58" s="256"/>
      <c r="I58" s="256"/>
      <c r="J58" s="256"/>
      <c r="K58" s="256"/>
      <c r="L58" s="256"/>
      <c r="M58" s="256"/>
      <c r="N58" s="256"/>
      <c r="O58" s="256"/>
      <c r="P58" s="100"/>
    </row>
    <row r="59" spans="1:16" ht="15" customHeight="1" x14ac:dyDescent="0.25">
      <c r="A59" s="110"/>
      <c r="B59" s="183" t="s">
        <v>235</v>
      </c>
      <c r="C59" s="183"/>
      <c r="D59" s="183"/>
      <c r="E59" s="183"/>
      <c r="F59" s="183"/>
      <c r="G59" s="183"/>
      <c r="H59" s="183"/>
      <c r="I59" s="183"/>
      <c r="J59" s="183"/>
      <c r="K59" s="183"/>
      <c r="L59" s="183"/>
      <c r="M59" s="183"/>
      <c r="N59" s="183"/>
      <c r="O59" s="183"/>
      <c r="P59" s="111"/>
    </row>
    <row r="60" spans="1:16" x14ac:dyDescent="0.25">
      <c r="A60" s="110"/>
      <c r="B60" s="183"/>
      <c r="C60" s="183"/>
      <c r="D60" s="183"/>
      <c r="E60" s="183"/>
      <c r="F60" s="183"/>
      <c r="G60" s="183"/>
      <c r="H60" s="183"/>
      <c r="I60" s="183"/>
      <c r="J60" s="183"/>
      <c r="K60" s="183"/>
      <c r="L60" s="183"/>
      <c r="M60" s="183"/>
      <c r="N60" s="183"/>
      <c r="O60" s="183"/>
      <c r="P60" s="111"/>
    </row>
    <row r="61" spans="1:16" ht="24" customHeight="1" x14ac:dyDescent="0.25">
      <c r="A61" s="110"/>
      <c r="B61" s="266"/>
      <c r="C61" s="266"/>
      <c r="D61" s="266"/>
      <c r="E61" s="266"/>
      <c r="F61" s="266"/>
      <c r="G61" s="266"/>
      <c r="H61" s="266"/>
      <c r="I61" s="266"/>
      <c r="J61" s="266"/>
      <c r="K61" s="266"/>
      <c r="L61" s="266"/>
      <c r="M61" s="266"/>
      <c r="N61" s="266"/>
      <c r="O61" s="266"/>
      <c r="P61" s="111"/>
    </row>
    <row r="62" spans="1:16" x14ac:dyDescent="0.25">
      <c r="A62" s="112"/>
      <c r="B62" s="115"/>
      <c r="C62" s="115"/>
      <c r="D62" s="115"/>
      <c r="E62" s="115"/>
      <c r="F62" s="115"/>
      <c r="G62" s="115"/>
      <c r="H62" s="115"/>
      <c r="I62" s="115"/>
      <c r="J62" s="115"/>
      <c r="K62" s="115"/>
      <c r="L62" s="115"/>
      <c r="M62" s="115"/>
      <c r="N62" s="115"/>
      <c r="O62" s="115"/>
      <c r="P62" s="114"/>
    </row>
  </sheetData>
  <mergeCells count="48">
    <mergeCell ref="E18:H18"/>
    <mergeCell ref="E31:F31"/>
    <mergeCell ref="B5:H5"/>
    <mergeCell ref="E28:H28"/>
    <mergeCell ref="E17:H17"/>
    <mergeCell ref="E12:H12"/>
    <mergeCell ref="E13:H13"/>
    <mergeCell ref="E25:F25"/>
    <mergeCell ref="E26:H26"/>
    <mergeCell ref="E27:H27"/>
    <mergeCell ref="E19:F19"/>
    <mergeCell ref="E24:F24"/>
    <mergeCell ref="E22:H22"/>
    <mergeCell ref="B20:H20"/>
    <mergeCell ref="E30:H30"/>
    <mergeCell ref="E15:H15"/>
    <mergeCell ref="E16:H16"/>
    <mergeCell ref="E6:H6"/>
    <mergeCell ref="E8:H8"/>
    <mergeCell ref="E7:H7"/>
    <mergeCell ref="E9:H9"/>
    <mergeCell ref="E11:H11"/>
    <mergeCell ref="B58:O58"/>
    <mergeCell ref="B59:O61"/>
    <mergeCell ref="B2:O3"/>
    <mergeCell ref="E53:O53"/>
    <mergeCell ref="E54:O54"/>
    <mergeCell ref="E55:O55"/>
    <mergeCell ref="B57:O57"/>
    <mergeCell ref="L6:O6"/>
    <mergeCell ref="E10:H10"/>
    <mergeCell ref="J6:J18"/>
    <mergeCell ref="J20:O20"/>
    <mergeCell ref="E33:H33"/>
    <mergeCell ref="E34:F34"/>
    <mergeCell ref="E36:F36"/>
    <mergeCell ref="E23:H23"/>
    <mergeCell ref="E14:H14"/>
    <mergeCell ref="K47:M47"/>
    <mergeCell ref="N47:O47"/>
    <mergeCell ref="K43:O43"/>
    <mergeCell ref="K44:M44"/>
    <mergeCell ref="N44:O44"/>
    <mergeCell ref="B39:H39"/>
    <mergeCell ref="K45:M45"/>
    <mergeCell ref="N45:O45"/>
    <mergeCell ref="K46:M46"/>
    <mergeCell ref="N46:O46"/>
  </mergeCells>
  <conditionalFormatting sqref="H41:H51">
    <cfRule type="cellIs" dxfId="14" priority="6" operator="between">
      <formula>3</formula>
      <formula>5</formula>
    </cfRule>
  </conditionalFormatting>
  <conditionalFormatting sqref="C30">
    <cfRule type="cellIs" dxfId="13" priority="1" operator="greaterThan">
      <formula>0.001</formula>
    </cfRule>
    <cfRule type="cellIs" dxfId="12" priority="2" operator="lessThan">
      <formula>-0.001</formula>
    </cfRule>
    <cfRule type="cellIs" dxfId="11" priority="3" operator="greaterThan">
      <formula>0.001</formula>
    </cfRule>
  </conditionalFormatting>
  <hyperlinks>
    <hyperlink ref="Q1" location="Index!A1" display="INDEX"/>
  </hyperlinks>
  <pageMargins left="0.7" right="0.7" top="0.75" bottom="0.75" header="0.3" footer="0.3"/>
  <pageSetup paperSize="8"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71"/>
  <sheetViews>
    <sheetView topLeftCell="A19" workbookViewId="0">
      <selection activeCell="C31" sqref="C31"/>
    </sheetView>
  </sheetViews>
  <sheetFormatPr defaultRowHeight="15" x14ac:dyDescent="0.25"/>
  <cols>
    <col min="1" max="1" width="3.85546875" style="1" customWidth="1"/>
    <col min="2" max="2" width="10.42578125" style="1" customWidth="1"/>
    <col min="3" max="3" width="9.85546875" style="1" customWidth="1"/>
    <col min="4" max="4" width="8.28515625" style="1" bestFit="1" customWidth="1"/>
    <col min="5" max="5" width="9.140625" style="1" customWidth="1"/>
    <col min="6" max="6" width="32.85546875" style="1" customWidth="1"/>
    <col min="7" max="7" width="3.5703125" style="1" customWidth="1"/>
    <col min="8" max="8" width="4.7109375" style="1" customWidth="1"/>
    <col min="9" max="9" width="4.42578125" style="1" customWidth="1"/>
    <col min="10" max="13" width="9.140625" style="1"/>
    <col min="14" max="14" width="3.5703125" style="1" customWidth="1"/>
    <col min="15" max="16384" width="9.140625" style="1"/>
  </cols>
  <sheetData>
    <row r="1" spans="1:16" x14ac:dyDescent="0.25">
      <c r="A1" s="116"/>
      <c r="B1" s="123"/>
      <c r="C1" s="123"/>
      <c r="D1" s="123"/>
      <c r="E1" s="123"/>
      <c r="F1" s="123"/>
      <c r="G1" s="123"/>
      <c r="H1" s="123"/>
      <c r="I1" s="123"/>
      <c r="J1" s="123"/>
      <c r="K1" s="123"/>
      <c r="L1" s="123"/>
      <c r="M1" s="123"/>
      <c r="N1" s="117"/>
      <c r="O1" s="167" t="s">
        <v>426</v>
      </c>
    </row>
    <row r="2" spans="1:16" s="16" customFormat="1" ht="21" customHeight="1" x14ac:dyDescent="0.25">
      <c r="A2" s="106"/>
      <c r="B2" s="267" t="s">
        <v>207</v>
      </c>
      <c r="C2" s="268"/>
      <c r="D2" s="268"/>
      <c r="E2" s="268"/>
      <c r="F2" s="268"/>
      <c r="G2" s="268"/>
      <c r="H2" s="268"/>
      <c r="I2" s="268"/>
      <c r="J2" s="268"/>
      <c r="K2" s="268"/>
      <c r="L2" s="268"/>
      <c r="M2" s="269"/>
      <c r="N2" s="100"/>
    </row>
    <row r="3" spans="1:16" s="16" customFormat="1" ht="21" customHeight="1" x14ac:dyDescent="0.25">
      <c r="A3" s="106"/>
      <c r="B3" s="270"/>
      <c r="C3" s="271"/>
      <c r="D3" s="271"/>
      <c r="E3" s="271"/>
      <c r="F3" s="271"/>
      <c r="G3" s="271"/>
      <c r="H3" s="271"/>
      <c r="I3" s="271"/>
      <c r="J3" s="271"/>
      <c r="K3" s="271"/>
      <c r="L3" s="271"/>
      <c r="M3" s="272"/>
      <c r="N3" s="100"/>
    </row>
    <row r="4" spans="1:16" x14ac:dyDescent="0.25">
      <c r="A4" s="110"/>
      <c r="B4" s="8"/>
      <c r="C4" s="12"/>
      <c r="D4" s="12"/>
      <c r="E4" s="12"/>
      <c r="F4" s="12"/>
      <c r="G4" s="12"/>
      <c r="H4" s="12"/>
      <c r="I4" s="12"/>
      <c r="J4" s="12"/>
      <c r="K4" s="12"/>
      <c r="L4" s="12"/>
      <c r="M4" s="9"/>
      <c r="N4" s="111"/>
    </row>
    <row r="5" spans="1:16" x14ac:dyDescent="0.25">
      <c r="A5" s="110"/>
      <c r="B5" s="265" t="s">
        <v>59</v>
      </c>
      <c r="C5" s="265"/>
      <c r="D5" s="265"/>
      <c r="E5" s="265"/>
      <c r="F5" s="265"/>
      <c r="G5" s="12"/>
      <c r="H5" s="12"/>
      <c r="I5" s="12"/>
      <c r="J5" s="12"/>
      <c r="K5" s="12"/>
      <c r="L5" s="12"/>
      <c r="M5" s="9"/>
      <c r="N5" s="111"/>
    </row>
    <row r="6" spans="1:16" ht="18" customHeight="1" x14ac:dyDescent="0.35">
      <c r="A6" s="110"/>
      <c r="B6" s="7" t="s">
        <v>11</v>
      </c>
      <c r="C6" s="118">
        <v>8</v>
      </c>
      <c r="D6" s="2" t="s">
        <v>12</v>
      </c>
      <c r="E6" s="183" t="s">
        <v>13</v>
      </c>
      <c r="F6" s="183"/>
      <c r="G6" s="12"/>
      <c r="H6" s="209" t="s">
        <v>243</v>
      </c>
      <c r="I6" s="12"/>
      <c r="J6" s="187" t="s">
        <v>224</v>
      </c>
      <c r="K6" s="220"/>
      <c r="L6" s="220"/>
      <c r="M6" s="188"/>
      <c r="N6" s="111"/>
      <c r="P6" s="21"/>
    </row>
    <row r="7" spans="1:16" ht="18" x14ac:dyDescent="0.35">
      <c r="A7" s="110"/>
      <c r="B7" s="7" t="s">
        <v>9</v>
      </c>
      <c r="C7" s="118">
        <v>8000</v>
      </c>
      <c r="D7" s="2" t="s">
        <v>16</v>
      </c>
      <c r="E7" s="183" t="s">
        <v>17</v>
      </c>
      <c r="F7" s="183"/>
      <c r="G7" s="12"/>
      <c r="H7" s="210"/>
      <c r="I7" s="12"/>
      <c r="J7" s="8"/>
      <c r="K7" s="12"/>
      <c r="L7" s="12"/>
      <c r="M7" s="9"/>
      <c r="N7" s="111"/>
      <c r="P7" s="21"/>
    </row>
    <row r="8" spans="1:16" ht="18" x14ac:dyDescent="0.35">
      <c r="A8" s="110"/>
      <c r="B8" s="7" t="s">
        <v>139</v>
      </c>
      <c r="C8" s="118">
        <v>3000</v>
      </c>
      <c r="D8" s="2" t="s">
        <v>16</v>
      </c>
      <c r="E8" s="43" t="s">
        <v>140</v>
      </c>
      <c r="F8" s="90"/>
      <c r="G8" s="12"/>
      <c r="H8" s="210"/>
      <c r="I8" s="12"/>
      <c r="J8" s="8"/>
      <c r="K8" s="12"/>
      <c r="L8" s="12"/>
      <c r="M8" s="9"/>
      <c r="N8" s="111"/>
      <c r="P8" s="21"/>
    </row>
    <row r="9" spans="1:16" ht="17.25" customHeight="1" x14ac:dyDescent="0.25">
      <c r="A9" s="110"/>
      <c r="B9" s="17" t="s">
        <v>244</v>
      </c>
      <c r="C9" s="119">
        <v>27.581679478685576</v>
      </c>
      <c r="D9" s="2" t="s">
        <v>19</v>
      </c>
      <c r="E9" s="183" t="s">
        <v>18</v>
      </c>
      <c r="F9" s="183"/>
      <c r="G9" s="12"/>
      <c r="H9" s="210"/>
      <c r="I9" s="12"/>
      <c r="J9" s="8"/>
      <c r="K9" s="12"/>
      <c r="L9" s="12"/>
      <c r="M9" s="9"/>
      <c r="N9" s="111"/>
      <c r="P9" s="21"/>
    </row>
    <row r="10" spans="1:16" ht="17.25" customHeight="1" x14ac:dyDescent="0.25">
      <c r="A10" s="110"/>
      <c r="B10" s="17" t="s">
        <v>157</v>
      </c>
      <c r="C10" s="19">
        <f>(141.5/(131.5+C9))</f>
        <v>0.88948017435885041</v>
      </c>
      <c r="D10" s="2"/>
      <c r="E10" s="43" t="s">
        <v>143</v>
      </c>
      <c r="F10" s="90"/>
      <c r="G10" s="12"/>
      <c r="H10" s="210"/>
      <c r="I10" s="12"/>
      <c r="J10" s="8"/>
      <c r="K10" s="12"/>
      <c r="L10" s="12"/>
      <c r="M10" s="9"/>
      <c r="N10" s="111"/>
      <c r="P10" s="21"/>
    </row>
    <row r="11" spans="1:16" ht="17.25" customHeight="1" x14ac:dyDescent="0.35">
      <c r="A11" s="110"/>
      <c r="B11" s="7" t="s">
        <v>141</v>
      </c>
      <c r="C11" s="118">
        <v>20</v>
      </c>
      <c r="D11" s="2" t="s">
        <v>29</v>
      </c>
      <c r="E11" s="43" t="s">
        <v>142</v>
      </c>
      <c r="F11" s="90"/>
      <c r="G11" s="12"/>
      <c r="H11" s="210"/>
      <c r="I11" s="12"/>
      <c r="J11" s="8"/>
      <c r="K11" s="12"/>
      <c r="L11" s="12"/>
      <c r="M11" s="9"/>
      <c r="N11" s="111"/>
      <c r="P11" s="21"/>
    </row>
    <row r="12" spans="1:16" ht="17.25" customHeight="1" x14ac:dyDescent="0.25">
      <c r="A12" s="110"/>
      <c r="B12" s="17" t="s">
        <v>283</v>
      </c>
      <c r="C12" s="118">
        <v>1.04</v>
      </c>
      <c r="D12" s="2"/>
      <c r="E12" s="305" t="s">
        <v>144</v>
      </c>
      <c r="F12" s="307"/>
      <c r="G12" s="12"/>
      <c r="H12" s="210"/>
      <c r="I12" s="12"/>
      <c r="J12" s="22"/>
      <c r="K12" s="21"/>
      <c r="L12" s="21"/>
      <c r="M12" s="23"/>
      <c r="N12" s="111"/>
      <c r="P12" s="21"/>
    </row>
    <row r="13" spans="1:16" ht="15" customHeight="1" x14ac:dyDescent="0.25">
      <c r="A13" s="110"/>
      <c r="B13" s="7" t="s">
        <v>14</v>
      </c>
      <c r="C13" s="118">
        <v>0.65</v>
      </c>
      <c r="D13" s="2"/>
      <c r="E13" s="183" t="s">
        <v>15</v>
      </c>
      <c r="F13" s="183"/>
      <c r="G13" s="12"/>
      <c r="H13" s="210"/>
      <c r="I13" s="12"/>
      <c r="J13" s="8"/>
      <c r="K13" s="12"/>
      <c r="L13" s="12"/>
      <c r="M13" s="9"/>
      <c r="N13" s="111"/>
      <c r="P13" s="21"/>
    </row>
    <row r="14" spans="1:16" ht="15" customHeight="1" x14ac:dyDescent="0.25">
      <c r="A14" s="110"/>
      <c r="B14" s="7" t="s">
        <v>5</v>
      </c>
      <c r="C14" s="118">
        <v>0.89</v>
      </c>
      <c r="D14" s="2"/>
      <c r="E14" s="183" t="s">
        <v>28</v>
      </c>
      <c r="F14" s="183"/>
      <c r="G14" s="12"/>
      <c r="H14" s="210"/>
      <c r="I14" s="12"/>
      <c r="J14" s="8"/>
      <c r="K14" s="12"/>
      <c r="L14" s="12"/>
      <c r="M14" s="9"/>
      <c r="N14" s="111"/>
      <c r="P14" s="21"/>
    </row>
    <row r="15" spans="1:16" ht="15" customHeight="1" x14ac:dyDescent="0.25">
      <c r="A15" s="110"/>
      <c r="B15" s="7" t="s">
        <v>3</v>
      </c>
      <c r="C15" s="118">
        <v>250</v>
      </c>
      <c r="D15" s="2" t="s">
        <v>20</v>
      </c>
      <c r="E15" s="183" t="s">
        <v>21</v>
      </c>
      <c r="F15" s="183"/>
      <c r="G15" s="12"/>
      <c r="H15" s="210"/>
      <c r="I15" s="12"/>
      <c r="J15" s="8"/>
      <c r="K15" s="12"/>
      <c r="L15" s="12"/>
      <c r="M15" s="9"/>
      <c r="N15" s="111"/>
      <c r="P15" s="21"/>
    </row>
    <row r="16" spans="1:16" ht="17.25" customHeight="1" x14ac:dyDescent="0.25">
      <c r="A16" s="110"/>
      <c r="B16" s="7" t="s">
        <v>245</v>
      </c>
      <c r="C16" s="118">
        <v>95</v>
      </c>
      <c r="D16" s="2" t="s">
        <v>23</v>
      </c>
      <c r="E16" s="183" t="s">
        <v>22</v>
      </c>
      <c r="F16" s="183"/>
      <c r="G16" s="12"/>
      <c r="H16" s="210"/>
      <c r="I16" s="12"/>
      <c r="J16" s="8"/>
      <c r="K16" s="12"/>
      <c r="L16" s="12"/>
      <c r="M16" s="9"/>
      <c r="N16" s="111"/>
      <c r="P16" s="21"/>
    </row>
    <row r="17" spans="1:16" ht="17.25" customHeight="1" x14ac:dyDescent="0.25">
      <c r="A17" s="110"/>
      <c r="B17" s="7" t="s">
        <v>4</v>
      </c>
      <c r="C17" s="3">
        <f>C16+459.67</f>
        <v>554.67000000000007</v>
      </c>
      <c r="D17" s="2" t="s">
        <v>24</v>
      </c>
      <c r="E17" s="183" t="s">
        <v>22</v>
      </c>
      <c r="F17" s="183"/>
      <c r="G17" s="12"/>
      <c r="H17" s="210"/>
      <c r="I17" s="12"/>
      <c r="J17" s="8"/>
      <c r="K17" s="12"/>
      <c r="L17" s="12"/>
      <c r="M17" s="9"/>
      <c r="N17" s="111"/>
      <c r="P17" s="21"/>
    </row>
    <row r="18" spans="1:16" ht="15" customHeight="1" x14ac:dyDescent="0.35">
      <c r="A18" s="110"/>
      <c r="B18" s="7" t="s">
        <v>146</v>
      </c>
      <c r="C18" s="118">
        <v>10</v>
      </c>
      <c r="D18" s="2" t="s">
        <v>25</v>
      </c>
      <c r="E18" s="183" t="s">
        <v>239</v>
      </c>
      <c r="F18" s="183"/>
      <c r="G18" s="12"/>
      <c r="H18" s="210"/>
      <c r="I18" s="12"/>
      <c r="J18" s="8"/>
      <c r="K18" s="12"/>
      <c r="L18" s="12"/>
      <c r="M18" s="9"/>
      <c r="N18" s="111"/>
      <c r="P18" s="21"/>
    </row>
    <row r="19" spans="1:16" ht="15" customHeight="1" x14ac:dyDescent="0.35">
      <c r="A19" s="110"/>
      <c r="B19" s="7" t="s">
        <v>145</v>
      </c>
      <c r="C19" s="118">
        <v>15</v>
      </c>
      <c r="D19" s="2" t="s">
        <v>25</v>
      </c>
      <c r="E19" s="183" t="s">
        <v>238</v>
      </c>
      <c r="F19" s="183"/>
      <c r="G19" s="12"/>
      <c r="H19" s="210"/>
      <c r="I19" s="12"/>
      <c r="J19" s="8"/>
      <c r="K19" s="12"/>
      <c r="L19" s="12"/>
      <c r="M19" s="9"/>
      <c r="N19" s="111"/>
      <c r="P19" s="21"/>
    </row>
    <row r="20" spans="1:16" ht="18" customHeight="1" x14ac:dyDescent="0.35">
      <c r="A20" s="110"/>
      <c r="B20" s="7" t="s">
        <v>8</v>
      </c>
      <c r="C20" s="118">
        <v>1.2999999999999999E-2</v>
      </c>
      <c r="D20" s="2" t="s">
        <v>29</v>
      </c>
      <c r="E20" s="183" t="s">
        <v>30</v>
      </c>
      <c r="F20" s="183"/>
      <c r="G20" s="12"/>
      <c r="H20" s="210"/>
      <c r="I20" s="12"/>
      <c r="J20" s="8"/>
      <c r="K20" s="12"/>
      <c r="L20" s="12"/>
      <c r="M20" s="9"/>
      <c r="N20" s="111"/>
      <c r="P20" s="21"/>
    </row>
    <row r="21" spans="1:16" ht="18" customHeight="1" x14ac:dyDescent="0.35">
      <c r="A21" s="110"/>
      <c r="B21" s="7" t="s">
        <v>150</v>
      </c>
      <c r="C21" s="118">
        <v>500</v>
      </c>
      <c r="D21" s="2" t="s">
        <v>37</v>
      </c>
      <c r="E21" s="183" t="s">
        <v>147</v>
      </c>
      <c r="F21" s="183"/>
      <c r="G21" s="12"/>
      <c r="H21" s="210"/>
      <c r="I21" s="12"/>
      <c r="J21" s="22"/>
      <c r="K21" s="21"/>
      <c r="L21" s="21"/>
      <c r="M21" s="23"/>
      <c r="N21" s="111"/>
      <c r="P21" s="21"/>
    </row>
    <row r="22" spans="1:16" ht="18" customHeight="1" x14ac:dyDescent="0.35">
      <c r="A22" s="110"/>
      <c r="B22" s="7" t="s">
        <v>151</v>
      </c>
      <c r="C22" s="118">
        <v>100</v>
      </c>
      <c r="D22" s="2" t="s">
        <v>37</v>
      </c>
      <c r="E22" s="183" t="s">
        <v>38</v>
      </c>
      <c r="F22" s="183"/>
      <c r="G22" s="12"/>
      <c r="H22" s="211"/>
      <c r="I22" s="12"/>
      <c r="J22" s="26"/>
      <c r="K22" s="27"/>
      <c r="L22" s="27"/>
      <c r="M22" s="28"/>
      <c r="N22" s="111"/>
    </row>
    <row r="23" spans="1:16" ht="18" customHeight="1" x14ac:dyDescent="0.25">
      <c r="A23" s="110"/>
      <c r="B23" s="108"/>
      <c r="C23" s="12"/>
      <c r="D23" s="12"/>
      <c r="E23" s="229"/>
      <c r="F23" s="229"/>
      <c r="G23" s="12"/>
      <c r="H23" s="12"/>
      <c r="I23" s="12"/>
      <c r="J23" s="12"/>
      <c r="K23" s="12"/>
      <c r="L23" s="12"/>
      <c r="M23" s="9"/>
      <c r="N23" s="111"/>
    </row>
    <row r="24" spans="1:16" ht="15" customHeight="1" x14ac:dyDescent="0.25">
      <c r="A24" s="110"/>
      <c r="B24" s="264" t="s">
        <v>60</v>
      </c>
      <c r="C24" s="264"/>
      <c r="D24" s="264"/>
      <c r="E24" s="264"/>
      <c r="F24" s="264"/>
      <c r="G24" s="12"/>
      <c r="H24" s="293" t="s">
        <v>61</v>
      </c>
      <c r="I24" s="294"/>
      <c r="J24" s="294"/>
      <c r="K24" s="294"/>
      <c r="L24" s="294"/>
      <c r="M24" s="295"/>
      <c r="N24" s="111"/>
    </row>
    <row r="25" spans="1:16" ht="15" customHeight="1" x14ac:dyDescent="0.25">
      <c r="A25" s="110"/>
      <c r="B25" s="109" t="s">
        <v>26</v>
      </c>
      <c r="C25" s="12" t="s">
        <v>27</v>
      </c>
      <c r="D25" s="12"/>
      <c r="E25" s="87"/>
      <c r="F25" s="87"/>
      <c r="G25" s="12"/>
      <c r="H25" s="8"/>
      <c r="I25" s="12"/>
      <c r="J25" s="12"/>
      <c r="K25" s="12"/>
      <c r="L25" s="12"/>
      <c r="M25" s="9"/>
      <c r="N25" s="111"/>
    </row>
    <row r="26" spans="1:16" ht="18.75" x14ac:dyDescent="0.35">
      <c r="A26" s="110"/>
      <c r="B26" s="7" t="s">
        <v>0</v>
      </c>
      <c r="C26" s="6">
        <f>2.7*C13*C15/C17/C14</f>
        <v>0.88877625992011033</v>
      </c>
      <c r="D26" s="2" t="s">
        <v>31</v>
      </c>
      <c r="E26" s="183" t="s">
        <v>69</v>
      </c>
      <c r="F26" s="183"/>
      <c r="G26" s="12"/>
      <c r="H26" s="8"/>
      <c r="I26" s="12"/>
      <c r="J26" s="12"/>
      <c r="K26" s="12"/>
      <c r="L26" s="12"/>
      <c r="M26" s="9"/>
      <c r="N26" s="111"/>
    </row>
    <row r="27" spans="1:16" ht="18.75" x14ac:dyDescent="0.35">
      <c r="A27" s="110"/>
      <c r="B27" s="7" t="s">
        <v>32</v>
      </c>
      <c r="C27" s="4">
        <f>C10*62.4</f>
        <v>55.503562879992266</v>
      </c>
      <c r="D27" s="2" t="s">
        <v>31</v>
      </c>
      <c r="E27" s="183" t="s">
        <v>70</v>
      </c>
      <c r="F27" s="183"/>
      <c r="G27" s="12"/>
      <c r="H27" s="8"/>
      <c r="I27" s="12"/>
      <c r="J27" s="12"/>
      <c r="K27" s="12"/>
      <c r="L27" s="12"/>
      <c r="M27" s="9"/>
      <c r="N27" s="111"/>
    </row>
    <row r="28" spans="1:16" x14ac:dyDescent="0.25">
      <c r="A28" s="110"/>
      <c r="B28" s="8"/>
      <c r="C28" s="12"/>
      <c r="D28" s="12"/>
      <c r="E28" s="229"/>
      <c r="F28" s="229"/>
      <c r="G28" s="12"/>
      <c r="H28" s="8"/>
      <c r="I28" s="12"/>
      <c r="J28" s="12"/>
      <c r="K28" s="12"/>
      <c r="L28" s="12"/>
      <c r="M28" s="9"/>
      <c r="N28" s="111"/>
    </row>
    <row r="29" spans="1:16" ht="18" x14ac:dyDescent="0.35">
      <c r="A29" s="110"/>
      <c r="B29" s="109" t="s">
        <v>33</v>
      </c>
      <c r="C29" s="12" t="s">
        <v>34</v>
      </c>
      <c r="D29" s="12"/>
      <c r="E29" s="229"/>
      <c r="F29" s="229"/>
      <c r="G29" s="12"/>
      <c r="H29" s="22"/>
      <c r="I29" s="12"/>
      <c r="J29" s="12"/>
      <c r="K29" s="12"/>
      <c r="L29" s="12"/>
      <c r="M29" s="9"/>
      <c r="N29" s="111"/>
    </row>
    <row r="30" spans="1:16" ht="18" customHeight="1" x14ac:dyDescent="0.35">
      <c r="A30" s="110"/>
      <c r="B30" s="2" t="s">
        <v>35</v>
      </c>
      <c r="C30" s="130">
        <v>2.1388859800106572</v>
      </c>
      <c r="D30" s="2" t="s">
        <v>36</v>
      </c>
      <c r="E30" s="183" t="s">
        <v>43</v>
      </c>
      <c r="F30" s="183"/>
      <c r="G30" s="12"/>
      <c r="H30" s="22"/>
      <c r="I30" s="12"/>
      <c r="J30" s="12"/>
      <c r="K30" s="12"/>
      <c r="L30" s="12"/>
      <c r="M30" s="9"/>
      <c r="N30" s="111"/>
    </row>
    <row r="31" spans="1:16" ht="15" customHeight="1" x14ac:dyDescent="0.25">
      <c r="A31" s="110"/>
      <c r="B31" s="2" t="s">
        <v>2</v>
      </c>
      <c r="C31" s="6">
        <f>0.01186*SQRT((C27-C26)/C26*C22/C30)</f>
        <v>0.63569642623787914</v>
      </c>
      <c r="D31" s="2" t="s">
        <v>39</v>
      </c>
      <c r="E31" s="183" t="s">
        <v>40</v>
      </c>
      <c r="F31" s="183"/>
      <c r="G31" s="12"/>
      <c r="H31" s="22"/>
      <c r="I31" s="12"/>
      <c r="J31" s="12"/>
      <c r="K31" s="12"/>
      <c r="L31" s="12"/>
      <c r="M31" s="9"/>
      <c r="N31" s="111"/>
    </row>
    <row r="32" spans="1:16" ht="15" customHeight="1" x14ac:dyDescent="0.25">
      <c r="A32" s="110"/>
      <c r="B32" s="2" t="s">
        <v>7</v>
      </c>
      <c r="C32" s="3">
        <f>0.0049*C26*C22*C31/C20</f>
        <v>21.295848242813726</v>
      </c>
      <c r="D32" s="2"/>
      <c r="E32" s="183" t="s">
        <v>41</v>
      </c>
      <c r="F32" s="183"/>
      <c r="G32" s="12"/>
      <c r="H32" s="22"/>
      <c r="I32" s="12"/>
      <c r="J32" s="12"/>
      <c r="K32" s="12"/>
      <c r="L32" s="12"/>
      <c r="M32" s="9"/>
      <c r="N32" s="111"/>
    </row>
    <row r="33" spans="1:14" ht="15" customHeight="1" x14ac:dyDescent="0.35">
      <c r="A33" s="110"/>
      <c r="B33" s="2" t="s">
        <v>35</v>
      </c>
      <c r="C33" s="6">
        <f>0.34+3/C32^0.5+24/C32</f>
        <v>2.1170706776498553</v>
      </c>
      <c r="D33" s="2"/>
      <c r="E33" s="183"/>
      <c r="F33" s="183"/>
      <c r="G33" s="12"/>
      <c r="H33" s="22"/>
      <c r="I33" s="12"/>
      <c r="J33" s="12"/>
      <c r="K33" s="12"/>
      <c r="L33" s="12"/>
      <c r="M33" s="9"/>
      <c r="N33" s="111"/>
    </row>
    <row r="34" spans="1:14" ht="15" customHeight="1" x14ac:dyDescent="0.25">
      <c r="A34" s="110"/>
      <c r="B34" s="2" t="s">
        <v>42</v>
      </c>
      <c r="C34" s="19">
        <f>(C30-C33)^2</f>
        <v>4.759074170932076E-4</v>
      </c>
      <c r="D34" s="2"/>
      <c r="E34" s="183" t="s">
        <v>63</v>
      </c>
      <c r="F34" s="183"/>
      <c r="G34" s="12"/>
      <c r="H34" s="22"/>
      <c r="I34" s="12"/>
      <c r="J34" s="12"/>
      <c r="K34" s="12"/>
      <c r="L34" s="12"/>
      <c r="M34" s="9"/>
      <c r="N34" s="111"/>
    </row>
    <row r="35" spans="1:14" s="16" customFormat="1" x14ac:dyDescent="0.25">
      <c r="A35" s="106"/>
      <c r="B35" s="22"/>
      <c r="C35" s="21"/>
      <c r="D35" s="21"/>
      <c r="E35" s="229"/>
      <c r="F35" s="229"/>
      <c r="G35" s="12"/>
      <c r="H35" s="22"/>
      <c r="I35" s="12"/>
      <c r="J35" s="12"/>
      <c r="K35" s="12"/>
      <c r="L35" s="21"/>
      <c r="M35" s="23"/>
      <c r="N35" s="100"/>
    </row>
    <row r="36" spans="1:14" x14ac:dyDescent="0.25">
      <c r="A36" s="110"/>
      <c r="B36" s="109" t="s">
        <v>44</v>
      </c>
      <c r="C36" s="308" t="s">
        <v>148</v>
      </c>
      <c r="D36" s="308"/>
      <c r="E36" s="308"/>
      <c r="F36" s="308"/>
      <c r="G36" s="12"/>
      <c r="H36" s="8"/>
      <c r="I36" s="12"/>
      <c r="J36" s="12"/>
      <c r="K36" s="12"/>
      <c r="L36" s="12"/>
      <c r="M36" s="9"/>
      <c r="N36" s="111"/>
    </row>
    <row r="37" spans="1:14" ht="18.75" x14ac:dyDescent="0.35">
      <c r="A37" s="110"/>
      <c r="B37" s="2" t="s">
        <v>149</v>
      </c>
      <c r="C37" s="3">
        <f>6686*C7*C11/(C12-C10)/C21^2</f>
        <v>28428.414541228256</v>
      </c>
      <c r="D37" s="2" t="s">
        <v>58</v>
      </c>
      <c r="E37" s="183"/>
      <c r="F37" s="183"/>
      <c r="G37" s="12"/>
      <c r="H37" s="8"/>
      <c r="I37" s="12"/>
      <c r="J37" s="12"/>
      <c r="K37" s="12"/>
      <c r="L37" s="12"/>
      <c r="M37" s="9"/>
      <c r="N37" s="111"/>
    </row>
    <row r="38" spans="1:14" ht="18" x14ac:dyDescent="0.35">
      <c r="A38" s="110"/>
      <c r="B38" s="2" t="s">
        <v>47</v>
      </c>
      <c r="C38" s="4">
        <f>SQRT(C37)</f>
        <v>168.60727902800713</v>
      </c>
      <c r="D38" s="2" t="s">
        <v>48</v>
      </c>
      <c r="E38" s="183"/>
      <c r="F38" s="183"/>
      <c r="G38" s="12"/>
      <c r="H38" s="8"/>
      <c r="I38" s="12"/>
      <c r="J38" s="12"/>
      <c r="K38" s="12"/>
      <c r="L38" s="12"/>
      <c r="M38" s="9"/>
      <c r="N38" s="111"/>
    </row>
    <row r="39" spans="1:14" x14ac:dyDescent="0.25">
      <c r="A39" s="110"/>
      <c r="B39" s="8"/>
      <c r="C39" s="12"/>
      <c r="D39" s="12"/>
      <c r="E39" s="229"/>
      <c r="F39" s="229"/>
      <c r="G39" s="12"/>
      <c r="H39" s="8"/>
      <c r="I39" s="12"/>
      <c r="J39" s="12"/>
      <c r="K39" s="12"/>
      <c r="L39" s="12"/>
      <c r="M39" s="9"/>
      <c r="N39" s="111"/>
    </row>
    <row r="40" spans="1:14" x14ac:dyDescent="0.25">
      <c r="A40" s="110"/>
      <c r="B40" s="109" t="s">
        <v>50</v>
      </c>
      <c r="C40" s="12" t="s">
        <v>45</v>
      </c>
      <c r="D40" s="12"/>
      <c r="E40" s="87"/>
      <c r="F40" s="87"/>
      <c r="G40" s="12"/>
      <c r="H40" s="8"/>
      <c r="I40" s="12"/>
      <c r="J40" s="12"/>
      <c r="K40" s="12"/>
      <c r="L40" s="12"/>
      <c r="M40" s="9"/>
      <c r="N40" s="111"/>
    </row>
    <row r="41" spans="1:14" ht="18.75" x14ac:dyDescent="0.35">
      <c r="A41" s="110"/>
      <c r="B41" s="2" t="s">
        <v>149</v>
      </c>
      <c r="C41" s="3">
        <f>5058*C6*(C17*C14/C15)*SQRT(C26*C33/(C27-C26)/C22)</f>
        <v>1483.0721101923677</v>
      </c>
      <c r="D41" s="2" t="s">
        <v>58</v>
      </c>
      <c r="E41" s="183"/>
      <c r="F41" s="183"/>
      <c r="G41" s="12"/>
      <c r="H41" s="8"/>
      <c r="I41" s="12"/>
      <c r="J41" s="12"/>
      <c r="K41" s="12"/>
      <c r="L41" s="12"/>
      <c r="M41" s="9"/>
      <c r="N41" s="111"/>
    </row>
    <row r="42" spans="1:14" ht="18" x14ac:dyDescent="0.35">
      <c r="A42" s="110"/>
      <c r="B42" s="2" t="s">
        <v>47</v>
      </c>
      <c r="C42" s="4">
        <f>SQRT(C41)</f>
        <v>38.510675275725404</v>
      </c>
      <c r="D42" s="2" t="s">
        <v>48</v>
      </c>
      <c r="E42" s="183"/>
      <c r="F42" s="183"/>
      <c r="G42" s="12"/>
      <c r="H42" s="8"/>
      <c r="I42" s="12"/>
      <c r="J42" s="12"/>
      <c r="K42" s="12"/>
      <c r="L42" s="12"/>
      <c r="M42" s="9"/>
      <c r="N42" s="111"/>
    </row>
    <row r="43" spans="1:14" x14ac:dyDescent="0.25">
      <c r="A43" s="110"/>
      <c r="B43" s="8"/>
      <c r="C43" s="12"/>
      <c r="D43" s="12"/>
      <c r="E43" s="229"/>
      <c r="F43" s="229"/>
      <c r="G43" s="12"/>
      <c r="H43" s="8"/>
      <c r="I43" s="12"/>
      <c r="J43" s="12"/>
      <c r="K43" s="12"/>
      <c r="L43" s="12"/>
      <c r="M43" s="9"/>
      <c r="N43" s="111"/>
    </row>
    <row r="44" spans="1:14" ht="18" x14ac:dyDescent="0.35">
      <c r="A44" s="110"/>
      <c r="B44" s="2" t="s">
        <v>47</v>
      </c>
      <c r="C44" s="4">
        <f>MAX(C42,C38)</f>
        <v>168.60727902800713</v>
      </c>
      <c r="D44" s="2" t="s">
        <v>48</v>
      </c>
      <c r="E44" s="183" t="s">
        <v>152</v>
      </c>
      <c r="F44" s="183"/>
      <c r="G44" s="12"/>
      <c r="H44" s="8"/>
      <c r="I44" s="12"/>
      <c r="J44" s="12"/>
      <c r="K44" s="12"/>
      <c r="L44" s="12"/>
      <c r="M44" s="9"/>
      <c r="N44" s="111"/>
    </row>
    <row r="45" spans="1:14" x14ac:dyDescent="0.25">
      <c r="A45" s="110"/>
      <c r="B45" s="8"/>
      <c r="C45" s="12"/>
      <c r="D45" s="12"/>
      <c r="E45" s="89"/>
      <c r="F45" s="89"/>
      <c r="G45" s="12"/>
      <c r="H45" s="8"/>
      <c r="I45" s="12"/>
      <c r="J45" s="12"/>
      <c r="K45" s="12"/>
      <c r="L45" s="12"/>
      <c r="M45" s="9"/>
      <c r="N45" s="111"/>
    </row>
    <row r="46" spans="1:14" x14ac:dyDescent="0.25">
      <c r="A46" s="110"/>
      <c r="B46" s="109" t="s">
        <v>208</v>
      </c>
      <c r="C46" s="12" t="s">
        <v>51</v>
      </c>
      <c r="D46" s="12"/>
      <c r="E46" s="87"/>
      <c r="F46" s="87"/>
      <c r="G46" s="12"/>
      <c r="H46" s="8"/>
      <c r="I46" s="12"/>
      <c r="J46" s="12"/>
      <c r="K46" s="12"/>
      <c r="L46" s="12"/>
      <c r="M46" s="9"/>
      <c r="N46" s="111"/>
    </row>
    <row r="47" spans="1:14" ht="18.75" x14ac:dyDescent="0.35">
      <c r="A47" s="110"/>
      <c r="B47" s="2" t="s">
        <v>153</v>
      </c>
      <c r="C47" s="2">
        <f>8.576*(C7*C19+C8*C18)</f>
        <v>1286400</v>
      </c>
      <c r="D47" s="2" t="s">
        <v>154</v>
      </c>
      <c r="E47" s="183"/>
      <c r="F47" s="183"/>
      <c r="G47" s="12"/>
      <c r="H47" s="10"/>
      <c r="I47" s="13"/>
      <c r="J47" s="13"/>
      <c r="K47" s="13"/>
      <c r="L47" s="13"/>
      <c r="M47" s="11"/>
      <c r="N47" s="111"/>
    </row>
    <row r="48" spans="1:14" x14ac:dyDescent="0.25">
      <c r="A48" s="110"/>
      <c r="B48" s="8"/>
      <c r="C48" s="12"/>
      <c r="D48" s="12"/>
      <c r="E48" s="12"/>
      <c r="F48" s="12"/>
      <c r="G48" s="12"/>
      <c r="H48" s="12"/>
      <c r="I48" s="12"/>
      <c r="J48" s="12"/>
      <c r="K48" s="12"/>
      <c r="L48" s="12"/>
      <c r="M48" s="9"/>
      <c r="N48" s="111"/>
    </row>
    <row r="49" spans="1:14" x14ac:dyDescent="0.25">
      <c r="A49" s="110"/>
      <c r="B49" s="8" t="s">
        <v>62</v>
      </c>
      <c r="C49" s="12"/>
      <c r="D49" s="12"/>
      <c r="E49" s="12"/>
      <c r="F49" s="12"/>
      <c r="G49" s="12"/>
      <c r="M49" s="9"/>
      <c r="N49" s="111"/>
    </row>
    <row r="50" spans="1:14" x14ac:dyDescent="0.25">
      <c r="A50" s="110"/>
      <c r="B50" s="245" t="s">
        <v>383</v>
      </c>
      <c r="C50" s="246"/>
      <c r="D50" s="246"/>
      <c r="E50" s="247"/>
      <c r="F50" s="12"/>
      <c r="G50" s="12"/>
      <c r="H50" s="293" t="s">
        <v>391</v>
      </c>
      <c r="I50" s="294"/>
      <c r="J50" s="294"/>
      <c r="K50" s="294"/>
      <c r="L50" s="294"/>
      <c r="M50" s="295"/>
      <c r="N50" s="111"/>
    </row>
    <row r="51" spans="1:14" ht="34.5" x14ac:dyDescent="0.35">
      <c r="A51" s="110"/>
      <c r="B51" s="2" t="s">
        <v>53</v>
      </c>
      <c r="C51" s="2" t="s">
        <v>155</v>
      </c>
      <c r="D51" s="2" t="s">
        <v>56</v>
      </c>
      <c r="E51" s="44" t="s">
        <v>156</v>
      </c>
      <c r="F51" s="12"/>
      <c r="G51" s="12"/>
      <c r="H51" s="296" t="s">
        <v>91</v>
      </c>
      <c r="I51" s="296"/>
      <c r="J51" s="296"/>
      <c r="K51" s="257" t="s">
        <v>109</v>
      </c>
      <c r="L51" s="257"/>
      <c r="M51" s="257"/>
      <c r="N51" s="111"/>
    </row>
    <row r="52" spans="1:14" ht="17.25" x14ac:dyDescent="0.25">
      <c r="A52" s="110"/>
      <c r="B52" s="118">
        <v>16</v>
      </c>
      <c r="C52" s="3">
        <f>C$47/B52^2</f>
        <v>5025</v>
      </c>
      <c r="D52" s="4">
        <f>IF(B52&gt;36, (C52+B52+40)/12, (C52+76)/12)</f>
        <v>425.08333333333331</v>
      </c>
      <c r="E52" s="4">
        <f>12*D52/B52</f>
        <v>318.8125</v>
      </c>
      <c r="F52" s="12"/>
      <c r="G52" s="12"/>
      <c r="H52" s="296" t="s">
        <v>92</v>
      </c>
      <c r="I52" s="296"/>
      <c r="J52" s="296"/>
      <c r="K52" s="235" t="s">
        <v>216</v>
      </c>
      <c r="L52" s="235"/>
      <c r="M52" s="235"/>
      <c r="N52" s="111"/>
    </row>
    <row r="53" spans="1:14" ht="17.25" x14ac:dyDescent="0.25">
      <c r="A53" s="110"/>
      <c r="B53" s="118">
        <v>20</v>
      </c>
      <c r="C53" s="3">
        <f>C$47/B53^2</f>
        <v>3216</v>
      </c>
      <c r="D53" s="4">
        <f>IF(B53&gt;36, (C53+B53+40)/12, (C53+76)/12)</f>
        <v>274.33333333333331</v>
      </c>
      <c r="E53" s="4">
        <f>12*D53/B53</f>
        <v>164.6</v>
      </c>
      <c r="F53" s="12"/>
      <c r="G53" s="12"/>
      <c r="H53" s="297" t="s">
        <v>217</v>
      </c>
      <c r="I53" s="298"/>
      <c r="J53" s="298"/>
      <c r="K53" s="284"/>
      <c r="L53" s="285"/>
      <c r="M53" s="286"/>
      <c r="N53" s="111"/>
    </row>
    <row r="54" spans="1:14" ht="17.25" x14ac:dyDescent="0.25">
      <c r="A54" s="110"/>
      <c r="B54" s="118">
        <v>24</v>
      </c>
      <c r="C54" s="3">
        <f>C$47/B54^2</f>
        <v>2233.3333333333335</v>
      </c>
      <c r="D54" s="4">
        <f t="shared" ref="D54:D61" si="0">IF(B54&gt;36, (C54+B54+40)/12, (C54+76)/12)</f>
        <v>192.44444444444446</v>
      </c>
      <c r="E54" s="4">
        <f>12*D54/B54</f>
        <v>96.222222222222229</v>
      </c>
      <c r="F54" s="12"/>
      <c r="G54" s="12"/>
      <c r="H54" s="280" t="s">
        <v>219</v>
      </c>
      <c r="I54" s="281"/>
      <c r="J54" s="281"/>
      <c r="K54" s="287" t="s">
        <v>218</v>
      </c>
      <c r="L54" s="288"/>
      <c r="M54" s="289"/>
      <c r="N54" s="111"/>
    </row>
    <row r="55" spans="1:14" ht="17.25" x14ac:dyDescent="0.25">
      <c r="A55" s="110"/>
      <c r="B55" s="118">
        <v>30</v>
      </c>
      <c r="C55" s="3">
        <f>C$47/B55^2</f>
        <v>1429.3333333333333</v>
      </c>
      <c r="D55" s="4">
        <f t="shared" si="0"/>
        <v>125.44444444444444</v>
      </c>
      <c r="E55" s="4">
        <f>12*D55/B55</f>
        <v>50.177777777777777</v>
      </c>
      <c r="F55" s="12"/>
      <c r="G55" s="12"/>
      <c r="H55" s="280" t="s">
        <v>220</v>
      </c>
      <c r="I55" s="281"/>
      <c r="J55" s="281"/>
      <c r="K55" s="287" t="s">
        <v>222</v>
      </c>
      <c r="L55" s="288"/>
      <c r="M55" s="289"/>
      <c r="N55" s="111"/>
    </row>
    <row r="56" spans="1:14" ht="17.25" x14ac:dyDescent="0.25">
      <c r="A56" s="110"/>
      <c r="B56" s="118">
        <v>36</v>
      </c>
      <c r="C56" s="3">
        <f>C$47/B56^2</f>
        <v>992.59259259259261</v>
      </c>
      <c r="D56" s="4">
        <f t="shared" si="0"/>
        <v>89.049382716049379</v>
      </c>
      <c r="E56" s="4">
        <f>12*D56/B56</f>
        <v>29.68312757201646</v>
      </c>
      <c r="F56" s="12"/>
      <c r="G56" s="12"/>
      <c r="H56" s="282" t="s">
        <v>221</v>
      </c>
      <c r="I56" s="283"/>
      <c r="J56" s="283"/>
      <c r="K56" s="290" t="s">
        <v>223</v>
      </c>
      <c r="L56" s="291"/>
      <c r="M56" s="292"/>
      <c r="N56" s="111"/>
    </row>
    <row r="57" spans="1:14" x14ac:dyDescent="0.25">
      <c r="A57" s="110"/>
      <c r="B57" s="118">
        <v>42</v>
      </c>
      <c r="C57" s="3">
        <f t="shared" ref="C57:C62" si="1">C$47/B57^2</f>
        <v>729.25170068027217</v>
      </c>
      <c r="D57" s="4">
        <f t="shared" si="0"/>
        <v>67.60430839002268</v>
      </c>
      <c r="E57" s="4">
        <f t="shared" ref="E57:E62" si="2">12*D57/B57</f>
        <v>19.315516682863624</v>
      </c>
      <c r="F57" s="12"/>
      <c r="G57" s="12"/>
      <c r="H57" s="12"/>
      <c r="I57" s="12"/>
      <c r="J57" s="12"/>
      <c r="K57" s="12"/>
      <c r="L57" s="12"/>
      <c r="M57" s="9"/>
      <c r="N57" s="111"/>
    </row>
    <row r="58" spans="1:14" x14ac:dyDescent="0.25">
      <c r="A58" s="110"/>
      <c r="B58" s="118">
        <v>48</v>
      </c>
      <c r="C58" s="3">
        <f t="shared" si="1"/>
        <v>558.33333333333337</v>
      </c>
      <c r="D58" s="4">
        <f t="shared" si="0"/>
        <v>53.861111111111114</v>
      </c>
      <c r="E58" s="4">
        <f t="shared" si="2"/>
        <v>13.465277777777779</v>
      </c>
      <c r="F58" s="12"/>
      <c r="G58" s="12"/>
      <c r="H58" s="12"/>
      <c r="I58" s="12"/>
      <c r="J58" s="12"/>
      <c r="K58" s="12"/>
      <c r="L58" s="12"/>
      <c r="M58" s="9"/>
      <c r="N58" s="111"/>
    </row>
    <row r="59" spans="1:14" x14ac:dyDescent="0.25">
      <c r="A59" s="110"/>
      <c r="B59" s="118">
        <v>54</v>
      </c>
      <c r="C59" s="3">
        <f t="shared" si="1"/>
        <v>441.15226337448559</v>
      </c>
      <c r="D59" s="4">
        <f t="shared" si="0"/>
        <v>44.596021947873794</v>
      </c>
      <c r="E59" s="4">
        <f t="shared" si="2"/>
        <v>9.9102270995275106</v>
      </c>
      <c r="F59" s="12"/>
      <c r="G59" s="12"/>
      <c r="H59" s="12"/>
      <c r="I59" s="12"/>
      <c r="J59" s="12"/>
      <c r="K59" s="12"/>
      <c r="L59" s="12"/>
      <c r="M59" s="9"/>
      <c r="N59" s="111"/>
    </row>
    <row r="60" spans="1:14" x14ac:dyDescent="0.25">
      <c r="A60" s="110"/>
      <c r="B60" s="118">
        <v>60</v>
      </c>
      <c r="C60" s="3">
        <f t="shared" si="1"/>
        <v>357.33333333333331</v>
      </c>
      <c r="D60" s="4">
        <f t="shared" si="0"/>
        <v>38.111111111111107</v>
      </c>
      <c r="E60" s="4">
        <f t="shared" si="2"/>
        <v>7.6222222222222209</v>
      </c>
      <c r="F60" s="12"/>
      <c r="G60" s="12"/>
      <c r="H60" s="12"/>
      <c r="I60" s="12"/>
      <c r="J60" s="12"/>
      <c r="K60" s="12"/>
      <c r="L60" s="12"/>
      <c r="M60" s="9"/>
      <c r="N60" s="111"/>
    </row>
    <row r="61" spans="1:14" x14ac:dyDescent="0.25">
      <c r="A61" s="110"/>
      <c r="B61" s="118">
        <v>120</v>
      </c>
      <c r="C61" s="3">
        <f t="shared" si="1"/>
        <v>89.333333333333329</v>
      </c>
      <c r="D61" s="4">
        <f t="shared" si="0"/>
        <v>20.777777777777775</v>
      </c>
      <c r="E61" s="4">
        <f t="shared" si="2"/>
        <v>2.0777777777777775</v>
      </c>
      <c r="F61" s="12"/>
      <c r="G61" s="12"/>
      <c r="H61" s="12"/>
      <c r="I61" s="12"/>
      <c r="J61" s="12"/>
      <c r="K61" s="12"/>
      <c r="L61" s="12"/>
      <c r="M61" s="9"/>
      <c r="N61" s="111"/>
    </row>
    <row r="62" spans="1:14" x14ac:dyDescent="0.25">
      <c r="A62" s="110"/>
      <c r="B62" s="118">
        <v>132</v>
      </c>
      <c r="C62" s="3">
        <f t="shared" si="1"/>
        <v>73.829201101928376</v>
      </c>
      <c r="D62" s="4">
        <f>IF(B62&gt;36, (C62+B62+40)/12, (C62+76)/12)</f>
        <v>20.485766758494034</v>
      </c>
      <c r="E62" s="4">
        <f t="shared" si="2"/>
        <v>1.8623424325903666</v>
      </c>
      <c r="F62" s="12"/>
      <c r="G62" s="12"/>
      <c r="H62" s="12"/>
      <c r="I62" s="12"/>
      <c r="J62" s="12"/>
      <c r="K62" s="12"/>
      <c r="L62" s="12"/>
      <c r="M62" s="9"/>
      <c r="N62" s="111"/>
    </row>
    <row r="63" spans="1:14" x14ac:dyDescent="0.25">
      <c r="A63" s="110"/>
      <c r="B63" s="8"/>
      <c r="C63" s="12"/>
      <c r="D63" s="12"/>
      <c r="E63" s="12"/>
      <c r="F63" s="12"/>
      <c r="G63" s="12"/>
      <c r="H63" s="12"/>
      <c r="I63" s="12"/>
      <c r="J63" s="12"/>
      <c r="K63" s="12"/>
      <c r="L63" s="12"/>
      <c r="M63" s="9"/>
      <c r="N63" s="111"/>
    </row>
    <row r="64" spans="1:14" ht="18" x14ac:dyDescent="0.35">
      <c r="A64" s="110"/>
      <c r="B64" s="137" t="s">
        <v>322</v>
      </c>
      <c r="C64" s="138">
        <v>20.8</v>
      </c>
      <c r="D64" s="137" t="s">
        <v>57</v>
      </c>
      <c r="E64" s="299" t="s">
        <v>389</v>
      </c>
      <c r="F64" s="300"/>
      <c r="G64" s="300"/>
      <c r="H64" s="300"/>
      <c r="I64" s="300"/>
      <c r="J64" s="300"/>
      <c r="K64" s="300"/>
      <c r="L64" s="300"/>
      <c r="M64" s="301"/>
      <c r="N64" s="111"/>
    </row>
    <row r="65" spans="1:14" x14ac:dyDescent="0.25">
      <c r="A65" s="110"/>
      <c r="B65" s="137" t="s">
        <v>55</v>
      </c>
      <c r="C65" s="138">
        <v>2.1</v>
      </c>
      <c r="D65" s="137"/>
      <c r="E65" s="302" t="s">
        <v>390</v>
      </c>
      <c r="F65" s="303"/>
      <c r="G65" s="303"/>
      <c r="H65" s="303"/>
      <c r="I65" s="303"/>
      <c r="J65" s="303"/>
      <c r="K65" s="303"/>
      <c r="L65" s="303"/>
      <c r="M65" s="304"/>
      <c r="N65" s="111"/>
    </row>
    <row r="66" spans="1:14" x14ac:dyDescent="0.25">
      <c r="A66" s="110"/>
      <c r="B66" s="137" t="s">
        <v>6</v>
      </c>
      <c r="C66" s="138">
        <v>120</v>
      </c>
      <c r="D66" s="137" t="s">
        <v>48</v>
      </c>
      <c r="E66" s="302" t="s">
        <v>388</v>
      </c>
      <c r="F66" s="303"/>
      <c r="G66" s="303"/>
      <c r="H66" s="303"/>
      <c r="I66" s="303"/>
      <c r="J66" s="303"/>
      <c r="K66" s="303"/>
      <c r="L66" s="303"/>
      <c r="M66" s="304"/>
      <c r="N66" s="111"/>
    </row>
    <row r="67" spans="1:14" ht="18" x14ac:dyDescent="0.35">
      <c r="A67" s="110"/>
      <c r="B67" s="2" t="s">
        <v>170</v>
      </c>
      <c r="C67" s="131">
        <f>C66^2/5058/(C17*C14/C15)/SQRT(C26*C33/(C27-C26)/C66)</f>
        <v>85.090452704165287</v>
      </c>
      <c r="D67" s="2" t="s">
        <v>12</v>
      </c>
      <c r="E67" s="305" t="str">
        <f>"Calculated gas capacity for selected L &amp; D (Should be more than " &amp; C6 &amp; " MMSCFD -  input value)"</f>
        <v>Calculated gas capacity for selected L &amp; D (Should be more than 8 MMSCFD -  input value)</v>
      </c>
      <c r="F67" s="306"/>
      <c r="G67" s="306"/>
      <c r="H67" s="306"/>
      <c r="I67" s="306"/>
      <c r="J67" s="306"/>
      <c r="K67" s="306"/>
      <c r="L67" s="306"/>
      <c r="M67" s="307"/>
      <c r="N67" s="111"/>
    </row>
    <row r="68" spans="1:14" x14ac:dyDescent="0.25">
      <c r="A68" s="110"/>
      <c r="B68" s="8"/>
      <c r="C68" s="12"/>
      <c r="D68" s="12"/>
      <c r="E68" s="12"/>
      <c r="F68" s="12"/>
      <c r="G68" s="12"/>
      <c r="H68" s="12"/>
      <c r="I68" s="12"/>
      <c r="J68" s="12"/>
      <c r="K68" s="12"/>
      <c r="L68" s="12"/>
      <c r="M68" s="9"/>
      <c r="N68" s="111"/>
    </row>
    <row r="69" spans="1:14" s="16" customFormat="1" x14ac:dyDescent="0.25">
      <c r="A69" s="106"/>
      <c r="B69" s="195" t="s">
        <v>132</v>
      </c>
      <c r="C69" s="195"/>
      <c r="D69" s="195"/>
      <c r="E69" s="195"/>
      <c r="F69" s="195"/>
      <c r="G69" s="195"/>
      <c r="H69" s="195"/>
      <c r="I69" s="195"/>
      <c r="J69" s="195"/>
      <c r="K69" s="195"/>
      <c r="L69" s="195"/>
      <c r="M69" s="195"/>
      <c r="N69" s="100"/>
    </row>
    <row r="70" spans="1:14" x14ac:dyDescent="0.25">
      <c r="A70" s="110"/>
      <c r="B70" s="256" t="s">
        <v>135</v>
      </c>
      <c r="C70" s="256"/>
      <c r="D70" s="256"/>
      <c r="E70" s="256"/>
      <c r="F70" s="256"/>
      <c r="G70" s="256"/>
      <c r="H70" s="256"/>
      <c r="I70" s="256"/>
      <c r="J70" s="256"/>
      <c r="K70" s="256"/>
      <c r="L70" s="256"/>
      <c r="M70" s="256"/>
      <c r="N70" s="111"/>
    </row>
    <row r="71" spans="1:14" x14ac:dyDescent="0.25">
      <c r="A71" s="112"/>
      <c r="B71" s="113"/>
      <c r="C71" s="113"/>
      <c r="D71" s="113"/>
      <c r="E71" s="113"/>
      <c r="F71" s="113"/>
      <c r="G71" s="113"/>
      <c r="H71" s="113"/>
      <c r="I71" s="113"/>
      <c r="J71" s="113"/>
      <c r="K71" s="113"/>
      <c r="L71" s="113"/>
      <c r="M71" s="113"/>
      <c r="N71" s="114"/>
    </row>
  </sheetData>
  <mergeCells count="60">
    <mergeCell ref="E47:F47"/>
    <mergeCell ref="E28:F28"/>
    <mergeCell ref="E16:F16"/>
    <mergeCell ref="E17:F17"/>
    <mergeCell ref="E37:F37"/>
    <mergeCell ref="E38:F38"/>
    <mergeCell ref="E26:F26"/>
    <mergeCell ref="E27:F27"/>
    <mergeCell ref="E23:F23"/>
    <mergeCell ref="B24:F24"/>
    <mergeCell ref="E35:F35"/>
    <mergeCell ref="E33:F33"/>
    <mergeCell ref="E34:F34"/>
    <mergeCell ref="E29:F29"/>
    <mergeCell ref="E30:F30"/>
    <mergeCell ref="E31:F31"/>
    <mergeCell ref="E21:F21"/>
    <mergeCell ref="C36:F36"/>
    <mergeCell ref="E44:F44"/>
    <mergeCell ref="E39:F39"/>
    <mergeCell ref="E41:F41"/>
    <mergeCell ref="E42:F42"/>
    <mergeCell ref="E43:F43"/>
    <mergeCell ref="E32:F32"/>
    <mergeCell ref="J6:M6"/>
    <mergeCell ref="H6:H22"/>
    <mergeCell ref="H24:M24"/>
    <mergeCell ref="B2:M3"/>
    <mergeCell ref="B5:F5"/>
    <mergeCell ref="E6:F6"/>
    <mergeCell ref="E13:F13"/>
    <mergeCell ref="E7:F7"/>
    <mergeCell ref="E9:F9"/>
    <mergeCell ref="E19:F19"/>
    <mergeCell ref="E14:F14"/>
    <mergeCell ref="E20:F20"/>
    <mergeCell ref="E22:F22"/>
    <mergeCell ref="E15:F15"/>
    <mergeCell ref="E12:F12"/>
    <mergeCell ref="E18:F18"/>
    <mergeCell ref="E64:M64"/>
    <mergeCell ref="E65:M65"/>
    <mergeCell ref="E66:M66"/>
    <mergeCell ref="B69:M69"/>
    <mergeCell ref="B70:M70"/>
    <mergeCell ref="E67:M67"/>
    <mergeCell ref="B50:E50"/>
    <mergeCell ref="H54:J54"/>
    <mergeCell ref="H55:J55"/>
    <mergeCell ref="H56:J56"/>
    <mergeCell ref="K51:M51"/>
    <mergeCell ref="K52:M52"/>
    <mergeCell ref="K53:M53"/>
    <mergeCell ref="K54:M54"/>
    <mergeCell ref="K55:M55"/>
    <mergeCell ref="K56:M56"/>
    <mergeCell ref="H50:M50"/>
    <mergeCell ref="H51:J51"/>
    <mergeCell ref="H52:J52"/>
    <mergeCell ref="H53:J53"/>
  </mergeCells>
  <conditionalFormatting sqref="E52:E62">
    <cfRule type="cellIs" dxfId="10" priority="5" operator="between">
      <formula>1.5</formula>
      <formula>3</formula>
    </cfRule>
  </conditionalFormatting>
  <conditionalFormatting sqref="C34">
    <cfRule type="cellIs" dxfId="9" priority="4" operator="greaterThan">
      <formula>0.001</formula>
    </cfRule>
  </conditionalFormatting>
  <conditionalFormatting sqref="C33:C34">
    <cfRule type="cellIs" dxfId="8" priority="3" operator="lessThan">
      <formula>-0.001</formula>
    </cfRule>
  </conditionalFormatting>
  <conditionalFormatting sqref="B52:B62">
    <cfRule type="cellIs" dxfId="7" priority="2" operator="greaterThan">
      <formula>$C$44</formula>
    </cfRule>
  </conditionalFormatting>
  <hyperlinks>
    <hyperlink ref="O1" location="Index!A1" display="INDEX"/>
  </hyperlinks>
  <pageMargins left="0.7" right="0.7" top="0.75" bottom="0.75" header="0.3" footer="0.3"/>
  <pageSetup paperSize="8"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74"/>
  <sheetViews>
    <sheetView topLeftCell="A13" zoomScaleNormal="100" workbookViewId="0">
      <selection activeCell="C41" sqref="C41"/>
    </sheetView>
  </sheetViews>
  <sheetFormatPr defaultRowHeight="15" x14ac:dyDescent="0.25"/>
  <cols>
    <col min="1" max="1" width="3.7109375" style="16" customWidth="1"/>
    <col min="2" max="3" width="9.85546875" style="16" customWidth="1"/>
    <col min="4" max="4" width="9.28515625" style="16" customWidth="1"/>
    <col min="5" max="5" width="9.140625" style="16" customWidth="1"/>
    <col min="6" max="6" width="13" style="16" customWidth="1"/>
    <col min="7" max="7" width="10.42578125" style="16" customWidth="1"/>
    <col min="8" max="8" width="9.140625" style="16"/>
    <col min="9" max="9" width="11.140625" style="16" customWidth="1"/>
    <col min="10" max="10" width="3.85546875" style="16" customWidth="1"/>
    <col min="11" max="11" width="5" style="16" customWidth="1"/>
    <col min="12" max="12" width="4" style="16" customWidth="1"/>
    <col min="13" max="16" width="9.140625" style="16"/>
    <col min="17" max="17" width="3.7109375" style="16" customWidth="1"/>
    <col min="18" max="16384" width="9.140625" style="16"/>
  </cols>
  <sheetData>
    <row r="1" spans="1:18" x14ac:dyDescent="0.25">
      <c r="A1" s="97"/>
      <c r="B1" s="98"/>
      <c r="C1" s="98"/>
      <c r="D1" s="98"/>
      <c r="E1" s="98"/>
      <c r="F1" s="98"/>
      <c r="G1" s="98"/>
      <c r="H1" s="98"/>
      <c r="I1" s="98"/>
      <c r="J1" s="98"/>
      <c r="K1" s="98"/>
      <c r="L1" s="98"/>
      <c r="M1" s="98"/>
      <c r="N1" s="98"/>
      <c r="O1" s="98"/>
      <c r="P1" s="98"/>
      <c r="Q1" s="99"/>
      <c r="R1" s="167" t="s">
        <v>426</v>
      </c>
    </row>
    <row r="2" spans="1:18" ht="21" customHeight="1" x14ac:dyDescent="0.25">
      <c r="A2" s="106"/>
      <c r="B2" s="267" t="s">
        <v>204</v>
      </c>
      <c r="C2" s="268"/>
      <c r="D2" s="268"/>
      <c r="E2" s="268"/>
      <c r="F2" s="268"/>
      <c r="G2" s="268"/>
      <c r="H2" s="268"/>
      <c r="I2" s="268"/>
      <c r="J2" s="268"/>
      <c r="K2" s="268"/>
      <c r="L2" s="268"/>
      <c r="M2" s="268"/>
      <c r="N2" s="268"/>
      <c r="O2" s="268"/>
      <c r="P2" s="269"/>
      <c r="Q2" s="100"/>
    </row>
    <row r="3" spans="1:18" ht="21" customHeight="1" x14ac:dyDescent="0.25">
      <c r="A3" s="106"/>
      <c r="B3" s="270"/>
      <c r="C3" s="271"/>
      <c r="D3" s="271"/>
      <c r="E3" s="271"/>
      <c r="F3" s="271"/>
      <c r="G3" s="271"/>
      <c r="H3" s="271"/>
      <c r="I3" s="271"/>
      <c r="J3" s="271"/>
      <c r="K3" s="271"/>
      <c r="L3" s="271"/>
      <c r="M3" s="271"/>
      <c r="N3" s="271"/>
      <c r="O3" s="271"/>
      <c r="P3" s="272"/>
      <c r="Q3" s="100"/>
    </row>
    <row r="4" spans="1:18" x14ac:dyDescent="0.25">
      <c r="A4" s="106"/>
      <c r="B4" s="22"/>
      <c r="C4" s="21"/>
      <c r="D4" s="21"/>
      <c r="E4" s="21"/>
      <c r="F4" s="21"/>
      <c r="G4" s="21"/>
      <c r="H4" s="21"/>
      <c r="I4" s="21"/>
      <c r="J4" s="21"/>
      <c r="K4" s="21"/>
      <c r="L4" s="21"/>
      <c r="M4" s="21"/>
      <c r="N4" s="21"/>
      <c r="O4" s="21"/>
      <c r="P4" s="23"/>
      <c r="Q4" s="100"/>
    </row>
    <row r="5" spans="1:18" x14ac:dyDescent="0.25">
      <c r="A5" s="106"/>
      <c r="B5" s="314" t="s">
        <v>59</v>
      </c>
      <c r="C5" s="315"/>
      <c r="D5" s="315"/>
      <c r="E5" s="315"/>
      <c r="F5" s="315"/>
      <c r="G5" s="315"/>
      <c r="H5" s="315"/>
      <c r="I5" s="316"/>
      <c r="J5" s="21"/>
      <c r="K5" s="21"/>
      <c r="L5" s="21"/>
      <c r="M5" s="21"/>
      <c r="N5" s="21"/>
      <c r="O5" s="21"/>
      <c r="P5" s="23"/>
      <c r="Q5" s="100"/>
    </row>
    <row r="6" spans="1:18" ht="18" x14ac:dyDescent="0.25">
      <c r="A6" s="106"/>
      <c r="B6" s="17" t="s">
        <v>11</v>
      </c>
      <c r="C6" s="59">
        <v>8</v>
      </c>
      <c r="D6" s="18" t="s">
        <v>12</v>
      </c>
      <c r="E6" s="183" t="s">
        <v>13</v>
      </c>
      <c r="F6" s="183"/>
      <c r="G6" s="183"/>
      <c r="H6" s="183"/>
      <c r="I6" s="183"/>
      <c r="J6" s="21"/>
      <c r="K6" s="209" t="s">
        <v>243</v>
      </c>
      <c r="L6" s="21"/>
      <c r="M6" s="187" t="s">
        <v>224</v>
      </c>
      <c r="N6" s="220"/>
      <c r="O6" s="220"/>
      <c r="P6" s="188"/>
      <c r="Q6" s="100"/>
    </row>
    <row r="7" spans="1:18" ht="18" customHeight="1" x14ac:dyDescent="0.25">
      <c r="A7" s="106"/>
      <c r="B7" s="17" t="s">
        <v>9</v>
      </c>
      <c r="C7" s="59">
        <v>8000</v>
      </c>
      <c r="D7" s="18" t="s">
        <v>16</v>
      </c>
      <c r="E7" s="183" t="s">
        <v>17</v>
      </c>
      <c r="F7" s="183"/>
      <c r="G7" s="183"/>
      <c r="H7" s="183"/>
      <c r="I7" s="183"/>
      <c r="J7" s="21"/>
      <c r="K7" s="210"/>
      <c r="L7" s="21"/>
      <c r="M7" s="55"/>
      <c r="N7" s="56"/>
      <c r="O7" s="56"/>
      <c r="P7" s="57"/>
      <c r="Q7" s="100"/>
    </row>
    <row r="8" spans="1:18" ht="18" x14ac:dyDescent="0.25">
      <c r="A8" s="106"/>
      <c r="B8" s="17" t="s">
        <v>139</v>
      </c>
      <c r="C8" s="59">
        <v>3000</v>
      </c>
      <c r="D8" s="18" t="s">
        <v>16</v>
      </c>
      <c r="E8" s="183" t="s">
        <v>140</v>
      </c>
      <c r="F8" s="183"/>
      <c r="G8" s="183"/>
      <c r="H8" s="183"/>
      <c r="I8" s="183"/>
      <c r="J8" s="21"/>
      <c r="K8" s="210"/>
      <c r="L8" s="21"/>
      <c r="M8" s="22"/>
      <c r="N8" s="21"/>
      <c r="O8" s="21"/>
      <c r="P8" s="23"/>
      <c r="Q8" s="100"/>
    </row>
    <row r="9" spans="1:18" ht="17.25" customHeight="1" x14ac:dyDescent="0.25">
      <c r="A9" s="106"/>
      <c r="B9" s="17" t="s">
        <v>244</v>
      </c>
      <c r="C9" s="76">
        <v>27.495066373004398</v>
      </c>
      <c r="D9" s="18" t="s">
        <v>19</v>
      </c>
      <c r="E9" s="183" t="s">
        <v>18</v>
      </c>
      <c r="F9" s="183"/>
      <c r="G9" s="183"/>
      <c r="H9" s="183"/>
      <c r="I9" s="183"/>
      <c r="J9" s="21"/>
      <c r="K9" s="210"/>
      <c r="L9" s="21"/>
      <c r="M9" s="22"/>
      <c r="N9" s="21"/>
      <c r="O9" s="21"/>
      <c r="P9" s="23"/>
      <c r="Q9" s="100"/>
      <c r="R9" s="21"/>
    </row>
    <row r="10" spans="1:18" ht="17.25" customHeight="1" x14ac:dyDescent="0.25">
      <c r="A10" s="106"/>
      <c r="B10" s="17" t="s">
        <v>157</v>
      </c>
      <c r="C10" s="19">
        <f>(141.5/(131.5+C9))</f>
        <v>0.88996472172312091</v>
      </c>
      <c r="D10" s="18"/>
      <c r="E10" s="183" t="s">
        <v>143</v>
      </c>
      <c r="F10" s="183"/>
      <c r="G10" s="183"/>
      <c r="H10" s="183"/>
      <c r="I10" s="183"/>
      <c r="J10" s="21"/>
      <c r="K10" s="210"/>
      <c r="L10" s="21"/>
      <c r="M10" s="22"/>
      <c r="N10" s="21"/>
      <c r="O10" s="21"/>
      <c r="P10" s="23"/>
      <c r="Q10" s="100"/>
      <c r="R10" s="21"/>
    </row>
    <row r="11" spans="1:18" ht="17.25" customHeight="1" x14ac:dyDescent="0.25">
      <c r="A11" s="106"/>
      <c r="B11" s="17" t="s">
        <v>141</v>
      </c>
      <c r="C11" s="59">
        <v>20</v>
      </c>
      <c r="D11" s="18" t="s">
        <v>29</v>
      </c>
      <c r="E11" s="183" t="s">
        <v>142</v>
      </c>
      <c r="F11" s="183"/>
      <c r="G11" s="183"/>
      <c r="H11" s="183"/>
      <c r="I11" s="183"/>
      <c r="J11" s="21"/>
      <c r="K11" s="210"/>
      <c r="L11" s="21"/>
      <c r="M11" s="22"/>
      <c r="N11" s="21"/>
      <c r="O11" s="21"/>
      <c r="P11" s="23"/>
      <c r="Q11" s="100"/>
      <c r="R11" s="21"/>
    </row>
    <row r="12" spans="1:18" ht="17.25" customHeight="1" x14ac:dyDescent="0.25">
      <c r="A12" s="106"/>
      <c r="B12" s="17" t="s">
        <v>283</v>
      </c>
      <c r="C12" s="59">
        <v>1.04</v>
      </c>
      <c r="D12" s="18"/>
      <c r="E12" s="183" t="s">
        <v>144</v>
      </c>
      <c r="F12" s="183"/>
      <c r="G12" s="183"/>
      <c r="H12" s="183"/>
      <c r="I12" s="183"/>
      <c r="J12" s="21"/>
      <c r="K12" s="210"/>
      <c r="L12" s="21"/>
      <c r="M12" s="22"/>
      <c r="N12" s="21"/>
      <c r="O12" s="21"/>
      <c r="P12" s="23"/>
      <c r="Q12" s="100"/>
      <c r="R12" s="21"/>
    </row>
    <row r="13" spans="1:18" ht="15" customHeight="1" x14ac:dyDescent="0.25">
      <c r="A13" s="106"/>
      <c r="B13" s="17" t="s">
        <v>14</v>
      </c>
      <c r="C13" s="59">
        <v>0.65</v>
      </c>
      <c r="D13" s="18"/>
      <c r="E13" s="183" t="s">
        <v>15</v>
      </c>
      <c r="F13" s="183"/>
      <c r="G13" s="183"/>
      <c r="H13" s="183"/>
      <c r="I13" s="183"/>
      <c r="J13" s="21"/>
      <c r="K13" s="210"/>
      <c r="L13" s="21"/>
      <c r="M13" s="88"/>
      <c r="N13" s="21"/>
      <c r="O13" s="21"/>
      <c r="P13" s="23"/>
      <c r="Q13" s="100"/>
      <c r="R13" s="21"/>
    </row>
    <row r="14" spans="1:18" ht="15" customHeight="1" x14ac:dyDescent="0.25">
      <c r="A14" s="106"/>
      <c r="B14" s="17" t="s">
        <v>5</v>
      </c>
      <c r="C14" s="59">
        <v>0.89</v>
      </c>
      <c r="D14" s="18"/>
      <c r="E14" s="183" t="s">
        <v>28</v>
      </c>
      <c r="F14" s="183"/>
      <c r="G14" s="183"/>
      <c r="H14" s="183"/>
      <c r="I14" s="183"/>
      <c r="J14" s="21"/>
      <c r="K14" s="210"/>
      <c r="L14" s="21"/>
      <c r="M14" s="22"/>
      <c r="N14" s="21"/>
      <c r="O14" s="21"/>
      <c r="P14" s="23"/>
      <c r="Q14" s="100"/>
      <c r="R14" s="21"/>
    </row>
    <row r="15" spans="1:18" ht="15" customHeight="1" x14ac:dyDescent="0.25">
      <c r="A15" s="106"/>
      <c r="B15" s="17" t="s">
        <v>3</v>
      </c>
      <c r="C15" s="59">
        <v>250</v>
      </c>
      <c r="D15" s="18" t="s">
        <v>20</v>
      </c>
      <c r="E15" s="183" t="s">
        <v>21</v>
      </c>
      <c r="F15" s="183"/>
      <c r="G15" s="183"/>
      <c r="H15" s="183"/>
      <c r="I15" s="183"/>
      <c r="J15" s="21"/>
      <c r="K15" s="210"/>
      <c r="L15" s="21"/>
      <c r="M15" s="22"/>
      <c r="N15" s="21"/>
      <c r="O15" s="21"/>
      <c r="P15" s="23"/>
      <c r="Q15" s="100"/>
      <c r="R15" s="21"/>
    </row>
    <row r="16" spans="1:18" ht="17.25" customHeight="1" x14ac:dyDescent="0.25">
      <c r="A16" s="106"/>
      <c r="B16" s="17" t="s">
        <v>245</v>
      </c>
      <c r="C16" s="59">
        <v>95</v>
      </c>
      <c r="D16" s="18" t="s">
        <v>23</v>
      </c>
      <c r="E16" s="183" t="s">
        <v>22</v>
      </c>
      <c r="F16" s="183"/>
      <c r="G16" s="183"/>
      <c r="H16" s="183"/>
      <c r="I16" s="183"/>
      <c r="J16" s="21"/>
      <c r="K16" s="210"/>
      <c r="L16" s="21"/>
      <c r="M16" s="22"/>
      <c r="N16" s="21"/>
      <c r="O16" s="21"/>
      <c r="P16" s="23"/>
      <c r="Q16" s="100"/>
      <c r="R16" s="21"/>
    </row>
    <row r="17" spans="1:18" ht="17.25" customHeight="1" x14ac:dyDescent="0.25">
      <c r="A17" s="106"/>
      <c r="B17" s="17" t="s">
        <v>4</v>
      </c>
      <c r="C17" s="20">
        <f>C16+459.67</f>
        <v>554.67000000000007</v>
      </c>
      <c r="D17" s="18" t="s">
        <v>24</v>
      </c>
      <c r="E17" s="183" t="s">
        <v>22</v>
      </c>
      <c r="F17" s="183"/>
      <c r="G17" s="183"/>
      <c r="H17" s="183"/>
      <c r="I17" s="183"/>
      <c r="J17" s="21"/>
      <c r="K17" s="210"/>
      <c r="L17" s="21"/>
      <c r="M17" s="22"/>
      <c r="N17" s="21"/>
      <c r="O17" s="21"/>
      <c r="P17" s="23"/>
      <c r="Q17" s="100"/>
      <c r="R17" s="21"/>
    </row>
    <row r="18" spans="1:18" ht="15" customHeight="1" x14ac:dyDescent="0.25">
      <c r="A18" s="106"/>
      <c r="B18" s="17" t="s">
        <v>146</v>
      </c>
      <c r="C18" s="59">
        <v>10</v>
      </c>
      <c r="D18" s="18" t="s">
        <v>25</v>
      </c>
      <c r="E18" s="183" t="s">
        <v>239</v>
      </c>
      <c r="F18" s="183"/>
      <c r="G18" s="183"/>
      <c r="H18" s="183"/>
      <c r="I18" s="183"/>
      <c r="J18" s="21"/>
      <c r="K18" s="210"/>
      <c r="L18" s="21"/>
      <c r="M18" s="22"/>
      <c r="N18" s="21"/>
      <c r="O18" s="21"/>
      <c r="P18" s="23"/>
      <c r="Q18" s="100"/>
      <c r="R18" s="21"/>
    </row>
    <row r="19" spans="1:18" ht="15" customHeight="1" x14ac:dyDescent="0.25">
      <c r="A19" s="106"/>
      <c r="B19" s="17" t="s">
        <v>145</v>
      </c>
      <c r="C19" s="59">
        <v>15</v>
      </c>
      <c r="D19" s="18" t="s">
        <v>25</v>
      </c>
      <c r="E19" s="183" t="s">
        <v>238</v>
      </c>
      <c r="F19" s="183"/>
      <c r="G19" s="183"/>
      <c r="H19" s="183"/>
      <c r="I19" s="183"/>
      <c r="J19" s="21"/>
      <c r="K19" s="210"/>
      <c r="L19" s="21"/>
      <c r="M19" s="22"/>
      <c r="N19" s="21"/>
      <c r="O19" s="21"/>
      <c r="P19" s="23"/>
      <c r="Q19" s="100"/>
      <c r="R19" s="21"/>
    </row>
    <row r="20" spans="1:18" ht="18" customHeight="1" x14ac:dyDescent="0.25">
      <c r="A20" s="106"/>
      <c r="B20" s="17" t="s">
        <v>8</v>
      </c>
      <c r="C20" s="59">
        <v>1.2999999999999999E-2</v>
      </c>
      <c r="D20" s="18" t="s">
        <v>29</v>
      </c>
      <c r="E20" s="183" t="s">
        <v>30</v>
      </c>
      <c r="F20" s="183"/>
      <c r="G20" s="183"/>
      <c r="H20" s="183"/>
      <c r="I20" s="183"/>
      <c r="J20" s="21"/>
      <c r="K20" s="210"/>
      <c r="L20" s="21"/>
      <c r="M20" s="22"/>
      <c r="N20" s="21"/>
      <c r="O20" s="21"/>
      <c r="P20" s="23"/>
      <c r="Q20" s="100"/>
      <c r="R20" s="21"/>
    </row>
    <row r="21" spans="1:18" ht="18" customHeight="1" x14ac:dyDescent="0.25">
      <c r="A21" s="106"/>
      <c r="B21" s="17" t="s">
        <v>150</v>
      </c>
      <c r="C21" s="59">
        <v>500</v>
      </c>
      <c r="D21" s="18" t="s">
        <v>37</v>
      </c>
      <c r="E21" s="183" t="s">
        <v>147</v>
      </c>
      <c r="F21" s="183"/>
      <c r="G21" s="183"/>
      <c r="H21" s="183"/>
      <c r="I21" s="183"/>
      <c r="J21" s="21"/>
      <c r="K21" s="210"/>
      <c r="L21" s="21"/>
      <c r="M21" s="22"/>
      <c r="N21" s="21"/>
      <c r="O21" s="107"/>
      <c r="P21" s="23"/>
      <c r="Q21" s="100"/>
      <c r="R21" s="21"/>
    </row>
    <row r="22" spans="1:18" ht="18" customHeight="1" x14ac:dyDescent="0.25">
      <c r="A22" s="106"/>
      <c r="B22" s="17" t="s">
        <v>151</v>
      </c>
      <c r="C22" s="59">
        <v>100</v>
      </c>
      <c r="D22" s="18" t="s">
        <v>37</v>
      </c>
      <c r="E22" s="183" t="s">
        <v>38</v>
      </c>
      <c r="F22" s="183"/>
      <c r="G22" s="183"/>
      <c r="H22" s="183"/>
      <c r="I22" s="183"/>
      <c r="J22" s="21"/>
      <c r="K22" s="210"/>
      <c r="L22" s="21"/>
      <c r="M22" s="22"/>
      <c r="N22" s="21"/>
      <c r="O22" s="21"/>
      <c r="P22" s="23"/>
      <c r="Q22" s="100"/>
      <c r="R22" s="21"/>
    </row>
    <row r="23" spans="1:18" ht="18" customHeight="1" x14ac:dyDescent="0.25">
      <c r="A23" s="106"/>
      <c r="B23" s="17" t="s">
        <v>129</v>
      </c>
      <c r="C23" s="77">
        <v>0.5</v>
      </c>
      <c r="D23" s="18"/>
      <c r="E23" s="183" t="s">
        <v>203</v>
      </c>
      <c r="F23" s="183"/>
      <c r="G23" s="183"/>
      <c r="H23" s="183"/>
      <c r="I23" s="183"/>
      <c r="J23" s="21"/>
      <c r="K23" s="211"/>
      <c r="L23" s="21"/>
      <c r="M23" s="26"/>
      <c r="N23" s="27"/>
      <c r="O23" s="27"/>
      <c r="P23" s="28"/>
      <c r="Q23" s="100"/>
      <c r="R23" s="21"/>
    </row>
    <row r="24" spans="1:18" ht="18" customHeight="1" x14ac:dyDescent="0.25">
      <c r="A24" s="106"/>
      <c r="B24" s="85"/>
      <c r="C24" s="21"/>
      <c r="D24" s="21"/>
      <c r="E24" s="229"/>
      <c r="F24" s="229"/>
      <c r="G24" s="21"/>
      <c r="H24" s="21"/>
      <c r="I24" s="21"/>
      <c r="J24" s="21"/>
      <c r="K24" s="21"/>
      <c r="L24" s="21"/>
      <c r="M24" s="21"/>
      <c r="N24" s="21"/>
      <c r="O24" s="21"/>
      <c r="P24" s="23"/>
      <c r="Q24" s="100"/>
      <c r="R24" s="21"/>
    </row>
    <row r="25" spans="1:18" ht="15" customHeight="1" x14ac:dyDescent="0.25">
      <c r="A25" s="106"/>
      <c r="B25" s="187" t="s">
        <v>60</v>
      </c>
      <c r="C25" s="220"/>
      <c r="D25" s="220"/>
      <c r="E25" s="220"/>
      <c r="F25" s="220"/>
      <c r="G25" s="220"/>
      <c r="H25" s="220"/>
      <c r="I25" s="188"/>
      <c r="J25" s="21"/>
      <c r="K25" s="311" t="s">
        <v>61</v>
      </c>
      <c r="L25" s="312"/>
      <c r="M25" s="312"/>
      <c r="N25" s="312"/>
      <c r="O25" s="312"/>
      <c r="P25" s="313"/>
      <c r="Q25" s="100"/>
      <c r="R25" s="21"/>
    </row>
    <row r="26" spans="1:18" ht="15" customHeight="1" x14ac:dyDescent="0.25">
      <c r="A26" s="106"/>
      <c r="B26" s="86" t="s">
        <v>26</v>
      </c>
      <c r="C26" s="21" t="s">
        <v>27</v>
      </c>
      <c r="D26" s="21"/>
      <c r="E26" s="87"/>
      <c r="F26" s="87"/>
      <c r="G26" s="21"/>
      <c r="H26" s="21"/>
      <c r="I26" s="21"/>
      <c r="J26" s="21"/>
      <c r="K26" s="22"/>
      <c r="L26" s="21"/>
      <c r="M26" s="21"/>
      <c r="N26" s="21"/>
      <c r="O26" s="21"/>
      <c r="P26" s="23"/>
      <c r="Q26" s="100"/>
    </row>
    <row r="27" spans="1:18" ht="18" customHeight="1" x14ac:dyDescent="0.25">
      <c r="A27" s="106"/>
      <c r="B27" s="17" t="s">
        <v>0</v>
      </c>
      <c r="C27" s="19">
        <f>2.7*C13*C15/C17/C14</f>
        <v>0.88877625992011033</v>
      </c>
      <c r="D27" s="18" t="s">
        <v>31</v>
      </c>
      <c r="E27" s="183" t="s">
        <v>69</v>
      </c>
      <c r="F27" s="183"/>
      <c r="G27" s="183"/>
      <c r="H27" s="183"/>
      <c r="I27" s="183"/>
      <c r="J27" s="21"/>
      <c r="K27" s="22"/>
      <c r="L27" s="21"/>
      <c r="M27" s="21"/>
      <c r="N27" s="21"/>
      <c r="O27" s="21"/>
      <c r="P27" s="23"/>
      <c r="Q27" s="100"/>
    </row>
    <row r="28" spans="1:18" ht="18" customHeight="1" x14ac:dyDescent="0.25">
      <c r="A28" s="106"/>
      <c r="B28" s="17" t="s">
        <v>32</v>
      </c>
      <c r="C28" s="24">
        <f>C10*62.4</f>
        <v>55.533798635522743</v>
      </c>
      <c r="D28" s="18" t="s">
        <v>31</v>
      </c>
      <c r="E28" s="183" t="s">
        <v>70</v>
      </c>
      <c r="F28" s="183"/>
      <c r="G28" s="183"/>
      <c r="H28" s="183"/>
      <c r="I28" s="183"/>
      <c r="J28" s="21"/>
      <c r="K28" s="22"/>
      <c r="L28" s="21"/>
      <c r="M28" s="21"/>
      <c r="N28" s="21"/>
      <c r="O28" s="21"/>
      <c r="P28" s="23"/>
      <c r="Q28" s="100"/>
    </row>
    <row r="29" spans="1:18" x14ac:dyDescent="0.25">
      <c r="A29" s="106"/>
      <c r="B29" s="85"/>
      <c r="C29" s="47"/>
      <c r="D29" s="21"/>
      <c r="E29" s="89"/>
      <c r="F29" s="89"/>
      <c r="G29" s="21"/>
      <c r="H29" s="21"/>
      <c r="I29" s="21"/>
      <c r="J29" s="21"/>
      <c r="K29" s="22"/>
      <c r="L29" s="21"/>
      <c r="M29" s="21"/>
      <c r="N29" s="21"/>
      <c r="O29" s="21"/>
      <c r="P29" s="23"/>
      <c r="Q29" s="100"/>
    </row>
    <row r="30" spans="1:18" s="1" customFormat="1" ht="18" x14ac:dyDescent="0.35">
      <c r="A30" s="110"/>
      <c r="B30" s="109" t="s">
        <v>33</v>
      </c>
      <c r="C30" s="12" t="s">
        <v>34</v>
      </c>
      <c r="D30" s="12"/>
      <c r="E30" s="229"/>
      <c r="F30" s="229"/>
      <c r="G30" s="12"/>
      <c r="H30" s="12"/>
      <c r="I30" s="12"/>
      <c r="J30" s="12"/>
      <c r="K30" s="8"/>
      <c r="L30" s="12"/>
      <c r="M30" s="21"/>
      <c r="N30" s="21"/>
      <c r="O30" s="12"/>
      <c r="P30" s="23"/>
      <c r="Q30" s="111"/>
    </row>
    <row r="31" spans="1:18" s="1" customFormat="1" ht="18" customHeight="1" x14ac:dyDescent="0.35">
      <c r="A31" s="110"/>
      <c r="B31" s="2" t="s">
        <v>35</v>
      </c>
      <c r="C31" s="130">
        <v>2.1383133123002729</v>
      </c>
      <c r="D31" s="2" t="s">
        <v>36</v>
      </c>
      <c r="E31" s="183" t="s">
        <v>43</v>
      </c>
      <c r="F31" s="183"/>
      <c r="G31" s="183"/>
      <c r="H31" s="183"/>
      <c r="I31" s="183"/>
      <c r="J31" s="12"/>
      <c r="K31" s="8"/>
      <c r="L31" s="12"/>
      <c r="M31" s="21"/>
      <c r="N31" s="21"/>
      <c r="O31" s="12"/>
      <c r="P31" s="23"/>
      <c r="Q31" s="111"/>
    </row>
    <row r="32" spans="1:18" s="1" customFormat="1" ht="15" customHeight="1" x14ac:dyDescent="0.25">
      <c r="A32" s="110"/>
      <c r="B32" s="2" t="s">
        <v>2</v>
      </c>
      <c r="C32" s="6">
        <f>0.01186*SQRT((C28-C27)/C27*C22/C31)</f>
        <v>0.63595751022162739</v>
      </c>
      <c r="D32" s="2" t="s">
        <v>39</v>
      </c>
      <c r="E32" s="183" t="s">
        <v>40</v>
      </c>
      <c r="F32" s="183"/>
      <c r="G32" s="183"/>
      <c r="H32" s="183"/>
      <c r="I32" s="183"/>
      <c r="J32" s="12"/>
      <c r="K32" s="8"/>
      <c r="L32" s="12"/>
      <c r="M32" s="21"/>
      <c r="N32" s="21"/>
      <c r="O32" s="12"/>
      <c r="P32" s="23"/>
      <c r="Q32" s="111"/>
    </row>
    <row r="33" spans="1:17" s="1" customFormat="1" ht="15" customHeight="1" x14ac:dyDescent="0.25">
      <c r="A33" s="110"/>
      <c r="B33" s="2" t="s">
        <v>7</v>
      </c>
      <c r="C33" s="3">
        <f>0.0049*C27*C22*C32/C20</f>
        <v>21.304594563647139</v>
      </c>
      <c r="D33" s="2"/>
      <c r="E33" s="183" t="s">
        <v>41</v>
      </c>
      <c r="F33" s="183"/>
      <c r="G33" s="183"/>
      <c r="H33" s="183"/>
      <c r="I33" s="183"/>
      <c r="J33" s="12"/>
      <c r="K33" s="8"/>
      <c r="L33" s="12"/>
      <c r="M33" s="21"/>
      <c r="N33" s="21"/>
      <c r="O33" s="12"/>
      <c r="P33" s="23"/>
      <c r="Q33" s="111"/>
    </row>
    <row r="34" spans="1:17" s="1" customFormat="1" ht="15" customHeight="1" x14ac:dyDescent="0.35">
      <c r="A34" s="110"/>
      <c r="B34" s="2" t="s">
        <v>35</v>
      </c>
      <c r="C34" s="6">
        <f>0.34+3/C33^0.5+24/C33</f>
        <v>2.1164745540158938</v>
      </c>
      <c r="D34" s="2"/>
      <c r="E34" s="183"/>
      <c r="F34" s="183"/>
      <c r="G34" s="183"/>
      <c r="H34" s="183"/>
      <c r="I34" s="183"/>
      <c r="J34" s="12"/>
      <c r="K34" s="8"/>
      <c r="L34" s="12"/>
      <c r="M34" s="21"/>
      <c r="N34" s="21"/>
      <c r="O34" s="12"/>
      <c r="P34" s="23"/>
      <c r="Q34" s="111"/>
    </row>
    <row r="35" spans="1:17" s="1" customFormat="1" x14ac:dyDescent="0.25">
      <c r="A35" s="110"/>
      <c r="B35" s="2" t="s">
        <v>42</v>
      </c>
      <c r="C35" s="19">
        <f>(C31-C34)^2</f>
        <v>4.7693136340353631E-4</v>
      </c>
      <c r="D35" s="2"/>
      <c r="E35" s="183" t="s">
        <v>63</v>
      </c>
      <c r="F35" s="183"/>
      <c r="G35" s="183"/>
      <c r="H35" s="183"/>
      <c r="I35" s="183"/>
      <c r="J35" s="12"/>
      <c r="K35" s="8"/>
      <c r="L35" s="12"/>
      <c r="M35" s="21"/>
      <c r="N35" s="21"/>
      <c r="O35" s="12"/>
      <c r="P35" s="23"/>
      <c r="Q35" s="111"/>
    </row>
    <row r="36" spans="1:17" x14ac:dyDescent="0.25">
      <c r="A36" s="106"/>
      <c r="B36" s="22"/>
      <c r="C36" s="21"/>
      <c r="D36" s="21"/>
      <c r="E36" s="229"/>
      <c r="F36" s="229"/>
      <c r="G36" s="12"/>
      <c r="H36" s="21"/>
      <c r="I36" s="21"/>
      <c r="J36" s="21"/>
      <c r="K36" s="8"/>
      <c r="L36" s="21"/>
      <c r="M36" s="21"/>
      <c r="N36" s="21"/>
      <c r="O36" s="21"/>
      <c r="P36" s="23"/>
      <c r="Q36" s="100"/>
    </row>
    <row r="37" spans="1:17" x14ac:dyDescent="0.25">
      <c r="A37" s="106"/>
      <c r="B37" s="86" t="s">
        <v>44</v>
      </c>
      <c r="C37" s="27" t="s">
        <v>148</v>
      </c>
      <c r="D37" s="27"/>
      <c r="E37" s="27"/>
      <c r="F37" s="27"/>
      <c r="G37" s="21"/>
      <c r="H37" s="21"/>
      <c r="I37" s="21"/>
      <c r="J37" s="21"/>
      <c r="K37" s="22"/>
      <c r="L37" s="21"/>
      <c r="M37" s="21"/>
      <c r="N37" s="21"/>
      <c r="O37" s="21"/>
      <c r="P37" s="23"/>
      <c r="Q37" s="100"/>
    </row>
    <row r="38" spans="1:17" ht="18" x14ac:dyDescent="0.25">
      <c r="A38" s="106"/>
      <c r="B38" s="18" t="s">
        <v>158</v>
      </c>
      <c r="C38" s="24">
        <f>0.00128*C19*(C12-C10)*C21^2/C11</f>
        <v>36.008466786450995</v>
      </c>
      <c r="D38" s="18" t="s">
        <v>48</v>
      </c>
      <c r="E38" s="183"/>
      <c r="F38" s="183"/>
      <c r="G38" s="183"/>
      <c r="H38" s="183"/>
      <c r="I38" s="183"/>
      <c r="J38" s="21"/>
      <c r="K38" s="22"/>
      <c r="L38" s="21"/>
      <c r="M38" s="21"/>
      <c r="N38" s="21"/>
      <c r="O38" s="21"/>
      <c r="P38" s="23"/>
      <c r="Q38" s="100"/>
    </row>
    <row r="39" spans="1:17" ht="18" x14ac:dyDescent="0.25">
      <c r="A39" s="106"/>
      <c r="B39" s="18" t="s">
        <v>159</v>
      </c>
      <c r="C39" s="19">
        <f>C23*C8*C18/(C7*C19+C8*C18)</f>
        <v>0.1</v>
      </c>
      <c r="D39" s="18"/>
      <c r="E39" s="183" t="s">
        <v>202</v>
      </c>
      <c r="F39" s="183"/>
      <c r="G39" s="183"/>
      <c r="H39" s="183"/>
      <c r="I39" s="183"/>
      <c r="J39" s="21"/>
      <c r="K39" s="22"/>
      <c r="L39" s="21"/>
      <c r="M39" s="21"/>
      <c r="N39" s="21"/>
      <c r="O39" s="21"/>
      <c r="P39" s="23"/>
      <c r="Q39" s="100"/>
    </row>
    <row r="40" spans="1:17" ht="18" x14ac:dyDescent="0.25">
      <c r="A40" s="106"/>
      <c r="B40" s="18" t="s">
        <v>160</v>
      </c>
      <c r="C40" s="128">
        <v>0.36231696122433632</v>
      </c>
      <c r="D40" s="18" t="s">
        <v>36</v>
      </c>
      <c r="E40" s="183"/>
      <c r="F40" s="183"/>
      <c r="G40" s="183"/>
      <c r="H40" s="183"/>
      <c r="I40" s="183"/>
      <c r="J40" s="21"/>
      <c r="K40" s="22"/>
      <c r="L40" s="21"/>
      <c r="M40" s="21"/>
      <c r="N40" s="21"/>
      <c r="O40" s="21"/>
      <c r="P40" s="23"/>
      <c r="Q40" s="100"/>
    </row>
    <row r="41" spans="1:17" ht="18" x14ac:dyDescent="0.25">
      <c r="A41" s="106"/>
      <c r="B41" s="18" t="s">
        <v>159</v>
      </c>
      <c r="C41" s="19">
        <f>1/PI()*(ACOS(2*C40)-2*C40*SQRT(1-4*C40^2))</f>
        <v>8.3054503132674609E-2</v>
      </c>
      <c r="D41" s="18"/>
      <c r="E41" s="183"/>
      <c r="F41" s="183"/>
      <c r="G41" s="183"/>
      <c r="H41" s="183"/>
      <c r="I41" s="183"/>
      <c r="J41" s="21"/>
      <c r="K41" s="22"/>
      <c r="L41" s="21"/>
      <c r="M41" s="21"/>
      <c r="N41" s="21"/>
      <c r="O41" s="21"/>
      <c r="P41" s="23"/>
      <c r="Q41" s="100"/>
    </row>
    <row r="42" spans="1:17" x14ac:dyDescent="0.25">
      <c r="A42" s="106"/>
      <c r="B42" s="18" t="s">
        <v>42</v>
      </c>
      <c r="C42" s="19">
        <f>(C39-C41)^2</f>
        <v>2.8714986408053482E-4</v>
      </c>
      <c r="D42" s="2"/>
      <c r="E42" s="183" t="s">
        <v>318</v>
      </c>
      <c r="F42" s="183"/>
      <c r="G42" s="183"/>
      <c r="H42" s="183"/>
      <c r="I42" s="183"/>
      <c r="J42" s="21"/>
      <c r="K42" s="22"/>
      <c r="L42" s="21"/>
      <c r="M42" s="21"/>
      <c r="N42" s="21"/>
      <c r="O42" s="21"/>
      <c r="P42" s="23"/>
      <c r="Q42" s="100"/>
    </row>
    <row r="43" spans="1:17" ht="18" customHeight="1" x14ac:dyDescent="0.25">
      <c r="A43" s="106"/>
      <c r="B43" s="18" t="s">
        <v>161</v>
      </c>
      <c r="C43" s="20">
        <f>C38/C40</f>
        <v>99.383883836880557</v>
      </c>
      <c r="D43" s="18" t="s">
        <v>48</v>
      </c>
      <c r="E43" s="183" t="s">
        <v>162</v>
      </c>
      <c r="F43" s="183"/>
      <c r="G43" s="183"/>
      <c r="H43" s="183"/>
      <c r="I43" s="183"/>
      <c r="J43" s="21"/>
      <c r="K43" s="22"/>
      <c r="L43" s="21"/>
      <c r="M43" s="21"/>
      <c r="N43" s="21"/>
      <c r="O43" s="21"/>
      <c r="P43" s="23"/>
      <c r="Q43" s="100"/>
    </row>
    <row r="44" spans="1:17" x14ac:dyDescent="0.25">
      <c r="A44" s="106"/>
      <c r="B44" s="22"/>
      <c r="C44" s="21"/>
      <c r="D44" s="21"/>
      <c r="E44" s="229"/>
      <c r="F44" s="229"/>
      <c r="G44" s="21"/>
      <c r="H44" s="21"/>
      <c r="I44" s="21"/>
      <c r="J44" s="21"/>
      <c r="K44" s="22"/>
      <c r="L44" s="21"/>
      <c r="M44" s="21"/>
      <c r="N44" s="21"/>
      <c r="O44" s="21"/>
      <c r="P44" s="23"/>
      <c r="Q44" s="100"/>
    </row>
    <row r="45" spans="1:17" x14ac:dyDescent="0.25">
      <c r="A45" s="106"/>
      <c r="B45" s="86" t="s">
        <v>50</v>
      </c>
      <c r="C45" s="21" t="s">
        <v>45</v>
      </c>
      <c r="D45" s="21"/>
      <c r="E45" s="87"/>
      <c r="F45" s="87"/>
      <c r="G45" s="21"/>
      <c r="H45" s="21"/>
      <c r="I45" s="21"/>
      <c r="J45" s="21"/>
      <c r="K45" s="22"/>
      <c r="L45" s="21"/>
      <c r="M45" s="21"/>
      <c r="N45" s="21"/>
      <c r="O45" s="21"/>
      <c r="P45" s="23"/>
      <c r="Q45" s="100"/>
    </row>
    <row r="46" spans="1:17" x14ac:dyDescent="0.25">
      <c r="A46" s="106"/>
      <c r="B46" s="18" t="s">
        <v>163</v>
      </c>
      <c r="C46" s="20">
        <f>420*(C17*C14*C6/C15)*SQRT(C27*C34/C22/(C28-C27))</f>
        <v>123.09811340171096</v>
      </c>
      <c r="D46" s="18" t="s">
        <v>130</v>
      </c>
      <c r="E46" s="183"/>
      <c r="F46" s="183"/>
      <c r="G46" s="183"/>
      <c r="H46" s="183"/>
      <c r="I46" s="183"/>
      <c r="J46" s="21"/>
      <c r="K46" s="22"/>
      <c r="L46" s="21"/>
      <c r="M46" s="21"/>
      <c r="N46" s="21"/>
      <c r="O46" s="21"/>
      <c r="P46" s="23"/>
      <c r="Q46" s="100"/>
    </row>
    <row r="47" spans="1:17" x14ac:dyDescent="0.25">
      <c r="A47" s="106"/>
      <c r="B47" s="22"/>
      <c r="C47" s="21"/>
      <c r="D47" s="21"/>
      <c r="E47" s="89"/>
      <c r="F47" s="89"/>
      <c r="G47" s="21"/>
      <c r="H47" s="21"/>
      <c r="I47" s="21"/>
      <c r="J47" s="21"/>
      <c r="K47" s="22"/>
      <c r="L47" s="21"/>
      <c r="M47" s="21"/>
      <c r="N47" s="21"/>
      <c r="O47" s="21"/>
      <c r="P47" s="23"/>
      <c r="Q47" s="100"/>
    </row>
    <row r="48" spans="1:17" x14ac:dyDescent="0.25">
      <c r="A48" s="106"/>
      <c r="B48" s="86" t="s">
        <v>50</v>
      </c>
      <c r="C48" s="21" t="s">
        <v>51</v>
      </c>
      <c r="D48" s="21"/>
      <c r="E48" s="87"/>
      <c r="F48" s="87"/>
      <c r="G48" s="21"/>
      <c r="H48" s="21"/>
      <c r="I48" s="21"/>
      <c r="J48" s="21"/>
      <c r="K48" s="22"/>
      <c r="L48" s="21"/>
      <c r="M48" s="21"/>
      <c r="N48" s="21"/>
      <c r="O48" s="21"/>
      <c r="P48" s="23"/>
      <c r="Q48" s="100"/>
    </row>
    <row r="49" spans="1:17" ht="17.25" x14ac:dyDescent="0.25">
      <c r="A49" s="106"/>
      <c r="B49" s="18" t="s">
        <v>65</v>
      </c>
      <c r="C49" s="18">
        <f>1.429*(C7*C19+C8*C18)</f>
        <v>214350</v>
      </c>
      <c r="D49" s="18" t="s">
        <v>168</v>
      </c>
      <c r="E49" s="183"/>
      <c r="F49" s="183"/>
      <c r="G49" s="183"/>
      <c r="H49" s="183"/>
      <c r="I49" s="183"/>
      <c r="J49" s="21"/>
      <c r="K49" s="22"/>
      <c r="L49" s="21"/>
      <c r="M49" s="21"/>
      <c r="N49" s="21"/>
      <c r="O49" s="21"/>
      <c r="P49" s="23"/>
      <c r="Q49" s="100"/>
    </row>
    <row r="50" spans="1:17" x14ac:dyDescent="0.25">
      <c r="A50" s="106"/>
      <c r="B50" s="127"/>
      <c r="C50" s="21"/>
      <c r="D50" s="21"/>
      <c r="E50" s="21"/>
      <c r="F50" s="21"/>
      <c r="G50" s="21"/>
      <c r="H50" s="21"/>
      <c r="I50" s="21"/>
      <c r="J50" s="21"/>
      <c r="K50" s="22"/>
      <c r="L50" s="21"/>
      <c r="M50" s="21"/>
      <c r="N50" s="21"/>
      <c r="O50" s="21"/>
      <c r="P50" s="23"/>
      <c r="Q50" s="100"/>
    </row>
    <row r="51" spans="1:17" ht="18" x14ac:dyDescent="0.25">
      <c r="A51" s="106"/>
      <c r="B51" s="22" t="s">
        <v>165</v>
      </c>
      <c r="C51" s="21"/>
      <c r="D51" s="21"/>
      <c r="E51" s="21"/>
      <c r="F51" s="21"/>
      <c r="G51" s="21"/>
      <c r="H51" s="21"/>
      <c r="I51" s="21"/>
      <c r="J51" s="21"/>
      <c r="K51" s="26"/>
      <c r="L51" s="27"/>
      <c r="M51" s="27"/>
      <c r="N51" s="27"/>
      <c r="O51" s="27"/>
      <c r="P51" s="28"/>
      <c r="Q51" s="100"/>
    </row>
    <row r="52" spans="1:17" x14ac:dyDescent="0.25">
      <c r="A52" s="106"/>
      <c r="B52" s="187" t="s">
        <v>383</v>
      </c>
      <c r="C52" s="220"/>
      <c r="D52" s="220"/>
      <c r="E52" s="220"/>
      <c r="F52" s="220"/>
      <c r="G52" s="220"/>
      <c r="H52" s="188"/>
      <c r="I52" s="21"/>
      <c r="J52" s="21"/>
      <c r="K52" s="21"/>
      <c r="L52" s="21"/>
      <c r="M52" s="21"/>
      <c r="N52" s="21"/>
      <c r="O52" s="21"/>
      <c r="P52" s="23"/>
      <c r="Q52" s="100"/>
    </row>
    <row r="53" spans="1:17" ht="33" x14ac:dyDescent="0.25">
      <c r="A53" s="106"/>
      <c r="B53" s="78" t="s">
        <v>53</v>
      </c>
      <c r="C53" s="78" t="s">
        <v>169</v>
      </c>
      <c r="D53" s="171" t="s">
        <v>434</v>
      </c>
      <c r="E53" s="78" t="s">
        <v>164</v>
      </c>
      <c r="F53" s="78" t="s">
        <v>435</v>
      </c>
      <c r="G53" s="170" t="s">
        <v>167</v>
      </c>
      <c r="H53" s="171" t="s">
        <v>166</v>
      </c>
      <c r="I53" s="21"/>
      <c r="J53" s="21"/>
      <c r="K53" s="21"/>
      <c r="L53" s="21"/>
      <c r="M53" s="21"/>
      <c r="N53" s="21"/>
      <c r="O53" s="21"/>
      <c r="P53" s="23"/>
      <c r="Q53" s="100"/>
    </row>
    <row r="54" spans="1:17" ht="30" x14ac:dyDescent="0.25">
      <c r="A54" s="106"/>
      <c r="B54" s="59">
        <v>12</v>
      </c>
      <c r="C54" s="24">
        <f>C$46/B54</f>
        <v>10.258176116809247</v>
      </c>
      <c r="D54" s="24">
        <f>C54+B54/12</f>
        <v>11.258176116809247</v>
      </c>
      <c r="E54" s="24">
        <f t="shared" ref="E54:E64" si="0">C$49/B54^2</f>
        <v>1488.5416666666667</v>
      </c>
      <c r="F54" s="24">
        <f t="shared" ref="F54:F63" si="1">4/3*E54</f>
        <v>1984.7222222222222</v>
      </c>
      <c r="G54" s="45" t="str">
        <f>IF(D54&gt;F54, "Gas capacity", "Liquid Capacity")</f>
        <v>Liquid Capacity</v>
      </c>
      <c r="H54" s="4">
        <f>IF(G54="Liquid Capacity",(12*F54/B54),(12*D54/B54))</f>
        <v>1984.7222222222219</v>
      </c>
      <c r="I54" s="21"/>
      <c r="J54" s="21"/>
      <c r="K54" s="311" t="s">
        <v>391</v>
      </c>
      <c r="L54" s="312"/>
      <c r="M54" s="312"/>
      <c r="N54" s="312"/>
      <c r="O54" s="312"/>
      <c r="P54" s="313"/>
      <c r="Q54" s="100"/>
    </row>
    <row r="55" spans="1:17" ht="30" x14ac:dyDescent="0.25">
      <c r="A55" s="106"/>
      <c r="B55" s="59">
        <v>24</v>
      </c>
      <c r="C55" s="24">
        <f t="shared" ref="C55:C64" si="2">C$46/B55</f>
        <v>5.1290880584046237</v>
      </c>
      <c r="D55" s="24">
        <f t="shared" ref="D55:D64" si="3">C55+B55/12</f>
        <v>7.1290880584046237</v>
      </c>
      <c r="E55" s="24">
        <f t="shared" si="0"/>
        <v>372.13541666666669</v>
      </c>
      <c r="F55" s="24">
        <f t="shared" si="1"/>
        <v>496.18055555555554</v>
      </c>
      <c r="G55" s="45" t="str">
        <f t="shared" ref="G55:G64" si="4">IF(D55&gt;F55, "Gas capacity", "Liquid Capacity")</f>
        <v>Liquid Capacity</v>
      </c>
      <c r="H55" s="4">
        <f t="shared" ref="H55:H64" si="5">IF(G55="Liquid Capacity",(12*F55/B55),(12*D55/B55))</f>
        <v>248.09027777777774</v>
      </c>
      <c r="I55" s="21"/>
      <c r="J55" s="21"/>
      <c r="K55" s="231" t="s">
        <v>91</v>
      </c>
      <c r="L55" s="231"/>
      <c r="M55" s="231"/>
      <c r="N55" s="309" t="s">
        <v>109</v>
      </c>
      <c r="O55" s="309"/>
      <c r="P55" s="309"/>
      <c r="Q55" s="100"/>
    </row>
    <row r="56" spans="1:17" ht="30" x14ac:dyDescent="0.25">
      <c r="A56" s="106"/>
      <c r="B56" s="59">
        <v>30</v>
      </c>
      <c r="C56" s="24">
        <f t="shared" si="2"/>
        <v>4.1032704467236991</v>
      </c>
      <c r="D56" s="24">
        <f t="shared" si="3"/>
        <v>6.6032704467236991</v>
      </c>
      <c r="E56" s="24">
        <f t="shared" si="0"/>
        <v>238.16666666666666</v>
      </c>
      <c r="F56" s="24">
        <f t="shared" si="1"/>
        <v>317.55555555555554</v>
      </c>
      <c r="G56" s="45" t="str">
        <f t="shared" si="4"/>
        <v>Liquid Capacity</v>
      </c>
      <c r="H56" s="4">
        <f t="shared" si="5"/>
        <v>127.02222222222221</v>
      </c>
      <c r="I56" s="21"/>
      <c r="J56" s="21"/>
      <c r="K56" s="231" t="s">
        <v>92</v>
      </c>
      <c r="L56" s="231"/>
      <c r="M56" s="231"/>
      <c r="N56" s="310" t="s">
        <v>216</v>
      </c>
      <c r="O56" s="310"/>
      <c r="P56" s="310"/>
      <c r="Q56" s="100"/>
    </row>
    <row r="57" spans="1:17" ht="30" x14ac:dyDescent="0.25">
      <c r="A57" s="106"/>
      <c r="B57" s="59">
        <v>36</v>
      </c>
      <c r="C57" s="24">
        <f t="shared" si="2"/>
        <v>3.4193920389364156</v>
      </c>
      <c r="D57" s="24">
        <f t="shared" si="3"/>
        <v>6.4193920389364152</v>
      </c>
      <c r="E57" s="24">
        <f t="shared" si="0"/>
        <v>165.3935185185185</v>
      </c>
      <c r="F57" s="24">
        <f t="shared" si="1"/>
        <v>220.52469135802465</v>
      </c>
      <c r="G57" s="45" t="str">
        <f t="shared" si="4"/>
        <v>Liquid Capacity</v>
      </c>
      <c r="H57" s="4">
        <f t="shared" si="5"/>
        <v>73.50823045267488</v>
      </c>
      <c r="I57" s="21"/>
      <c r="J57" s="21"/>
      <c r="K57" s="320" t="s">
        <v>217</v>
      </c>
      <c r="L57" s="321"/>
      <c r="M57" s="322"/>
      <c r="N57" s="323"/>
      <c r="O57" s="324"/>
      <c r="P57" s="325"/>
      <c r="Q57" s="100"/>
    </row>
    <row r="58" spans="1:17" ht="30" x14ac:dyDescent="0.25">
      <c r="A58" s="106"/>
      <c r="B58" s="59">
        <v>66</v>
      </c>
      <c r="C58" s="24">
        <f t="shared" si="2"/>
        <v>1.865122930328954</v>
      </c>
      <c r="D58" s="24">
        <f t="shared" si="3"/>
        <v>7.3651229303289538</v>
      </c>
      <c r="E58" s="24">
        <f t="shared" si="0"/>
        <v>49.207988980716252</v>
      </c>
      <c r="F58" s="24">
        <f t="shared" si="1"/>
        <v>65.610651974288331</v>
      </c>
      <c r="G58" s="45" t="str">
        <f t="shared" si="4"/>
        <v>Liquid Capacity</v>
      </c>
      <c r="H58" s="4">
        <f t="shared" si="5"/>
        <v>11.929209449870607</v>
      </c>
      <c r="I58" s="21"/>
      <c r="J58" s="21"/>
      <c r="K58" s="320" t="s">
        <v>219</v>
      </c>
      <c r="L58" s="321"/>
      <c r="M58" s="322"/>
      <c r="N58" s="323" t="s">
        <v>218</v>
      </c>
      <c r="O58" s="324"/>
      <c r="P58" s="325"/>
      <c r="Q58" s="100"/>
    </row>
    <row r="59" spans="1:17" ht="30" x14ac:dyDescent="0.25">
      <c r="A59" s="106"/>
      <c r="B59" s="59">
        <v>72</v>
      </c>
      <c r="C59" s="24">
        <f t="shared" si="2"/>
        <v>1.7096960194682078</v>
      </c>
      <c r="D59" s="24">
        <f t="shared" si="3"/>
        <v>7.7096960194682076</v>
      </c>
      <c r="E59" s="24">
        <f t="shared" si="0"/>
        <v>41.348379629629626</v>
      </c>
      <c r="F59" s="24">
        <f t="shared" si="1"/>
        <v>55.131172839506164</v>
      </c>
      <c r="G59" s="45" t="str">
        <f t="shared" si="4"/>
        <v>Liquid Capacity</v>
      </c>
      <c r="H59" s="4">
        <f t="shared" si="5"/>
        <v>9.18852880658436</v>
      </c>
      <c r="I59" s="21"/>
      <c r="J59" s="21"/>
      <c r="K59" s="320" t="s">
        <v>220</v>
      </c>
      <c r="L59" s="321"/>
      <c r="M59" s="322"/>
      <c r="N59" s="323" t="s">
        <v>222</v>
      </c>
      <c r="O59" s="324"/>
      <c r="P59" s="325"/>
      <c r="Q59" s="100"/>
    </row>
    <row r="60" spans="1:17" ht="30" x14ac:dyDescent="0.25">
      <c r="A60" s="106"/>
      <c r="B60" s="59">
        <v>78</v>
      </c>
      <c r="C60" s="24">
        <f t="shared" si="2"/>
        <v>1.5781809410475764</v>
      </c>
      <c r="D60" s="24">
        <f t="shared" si="3"/>
        <v>8.0781809410475773</v>
      </c>
      <c r="E60" s="24">
        <f t="shared" si="0"/>
        <v>35.231755424063117</v>
      </c>
      <c r="F60" s="24">
        <f t="shared" si="1"/>
        <v>46.97567389875082</v>
      </c>
      <c r="G60" s="45" t="str">
        <f t="shared" si="4"/>
        <v>Liquid Capacity</v>
      </c>
      <c r="H60" s="4">
        <f t="shared" si="5"/>
        <v>7.2270267536539725</v>
      </c>
      <c r="I60" s="21"/>
      <c r="J60" s="21"/>
      <c r="K60" s="250" t="s">
        <v>221</v>
      </c>
      <c r="L60" s="251"/>
      <c r="M60" s="252"/>
      <c r="N60" s="326" t="s">
        <v>223</v>
      </c>
      <c r="O60" s="327"/>
      <c r="P60" s="328"/>
      <c r="Q60" s="100"/>
    </row>
    <row r="61" spans="1:17" ht="30" x14ac:dyDescent="0.25">
      <c r="A61" s="106"/>
      <c r="B61" s="59">
        <v>84</v>
      </c>
      <c r="C61" s="24">
        <f t="shared" si="2"/>
        <v>1.4654537309727496</v>
      </c>
      <c r="D61" s="24">
        <f t="shared" si="3"/>
        <v>8.4654537309727491</v>
      </c>
      <c r="E61" s="24">
        <f t="shared" si="0"/>
        <v>30.378401360544217</v>
      </c>
      <c r="F61" s="24">
        <f t="shared" si="1"/>
        <v>40.504535147392289</v>
      </c>
      <c r="G61" s="45" t="str">
        <f t="shared" si="4"/>
        <v>Liquid Capacity</v>
      </c>
      <c r="H61" s="4">
        <f t="shared" si="5"/>
        <v>5.7863621639131839</v>
      </c>
      <c r="I61" s="21"/>
      <c r="J61" s="21"/>
      <c r="K61" s="21"/>
      <c r="L61" s="21"/>
      <c r="M61" s="21"/>
      <c r="N61" s="21"/>
      <c r="O61" s="21"/>
      <c r="P61" s="23"/>
      <c r="Q61" s="100"/>
    </row>
    <row r="62" spans="1:17" ht="30" x14ac:dyDescent="0.25">
      <c r="A62" s="106"/>
      <c r="B62" s="59">
        <v>90</v>
      </c>
      <c r="C62" s="24">
        <f t="shared" si="2"/>
        <v>1.3677568155745663</v>
      </c>
      <c r="D62" s="24">
        <f t="shared" si="3"/>
        <v>8.8677568155745661</v>
      </c>
      <c r="E62" s="24">
        <f t="shared" si="0"/>
        <v>26.462962962962962</v>
      </c>
      <c r="F62" s="24">
        <f t="shared" si="1"/>
        <v>35.283950617283949</v>
      </c>
      <c r="G62" s="45" t="str">
        <f t="shared" si="4"/>
        <v>Liquid Capacity</v>
      </c>
      <c r="H62" s="4">
        <f t="shared" si="5"/>
        <v>4.7045267489711931</v>
      </c>
      <c r="I62" s="21"/>
      <c r="J62" s="21"/>
      <c r="K62" s="21"/>
      <c r="L62" s="21"/>
      <c r="M62" s="21"/>
      <c r="N62" s="21"/>
      <c r="O62" s="21"/>
      <c r="P62" s="23"/>
      <c r="Q62" s="100"/>
    </row>
    <row r="63" spans="1:17" ht="30" x14ac:dyDescent="0.25">
      <c r="A63" s="106"/>
      <c r="B63" s="59">
        <v>96</v>
      </c>
      <c r="C63" s="24">
        <f t="shared" si="2"/>
        <v>1.2822720146011559</v>
      </c>
      <c r="D63" s="24">
        <f t="shared" si="3"/>
        <v>9.2822720146011566</v>
      </c>
      <c r="E63" s="24">
        <f t="shared" si="0"/>
        <v>23.258463541666668</v>
      </c>
      <c r="F63" s="24">
        <f t="shared" si="1"/>
        <v>31.011284722222221</v>
      </c>
      <c r="G63" s="45" t="str">
        <f t="shared" si="4"/>
        <v>Liquid Capacity</v>
      </c>
      <c r="H63" s="4">
        <f t="shared" si="5"/>
        <v>3.8764105902777772</v>
      </c>
      <c r="I63" s="21"/>
      <c r="J63" s="21"/>
      <c r="K63" s="21"/>
      <c r="L63" s="21"/>
      <c r="M63" s="21"/>
      <c r="N63" s="21"/>
      <c r="O63" s="21"/>
      <c r="P63" s="23"/>
      <c r="Q63" s="100"/>
    </row>
    <row r="64" spans="1:17" ht="30" x14ac:dyDescent="0.25">
      <c r="A64" s="106"/>
      <c r="B64" s="59">
        <v>102</v>
      </c>
      <c r="C64" s="24">
        <f t="shared" si="2"/>
        <v>1.206844249036382</v>
      </c>
      <c r="D64" s="24">
        <f t="shared" si="3"/>
        <v>9.7068442490363829</v>
      </c>
      <c r="E64" s="24">
        <f t="shared" si="0"/>
        <v>20.602652825836216</v>
      </c>
      <c r="F64" s="24">
        <f>4/3*E64</f>
        <v>27.470203767781619</v>
      </c>
      <c r="G64" s="45" t="str">
        <f t="shared" si="4"/>
        <v>Liquid Capacity</v>
      </c>
      <c r="H64" s="4">
        <f t="shared" si="5"/>
        <v>3.2317886785625438</v>
      </c>
      <c r="I64" s="21"/>
      <c r="J64" s="21"/>
      <c r="K64" s="21"/>
      <c r="L64" s="21"/>
      <c r="M64" s="21"/>
      <c r="N64" s="21"/>
      <c r="O64" s="21"/>
      <c r="P64" s="23"/>
      <c r="Q64" s="100"/>
    </row>
    <row r="65" spans="1:17" x14ac:dyDescent="0.25">
      <c r="A65" s="106"/>
      <c r="B65" s="22"/>
      <c r="C65" s="21"/>
      <c r="D65" s="21"/>
      <c r="E65" s="21"/>
      <c r="F65" s="21"/>
      <c r="G65" s="21"/>
      <c r="H65" s="21"/>
      <c r="I65" s="21"/>
      <c r="J65" s="21"/>
      <c r="K65" s="21"/>
      <c r="L65" s="21"/>
      <c r="M65" s="21"/>
      <c r="N65" s="21"/>
      <c r="O65" s="21"/>
      <c r="P65" s="23"/>
      <c r="Q65" s="100"/>
    </row>
    <row r="66" spans="1:17" ht="18" customHeight="1" x14ac:dyDescent="0.25">
      <c r="A66" s="106"/>
      <c r="B66" s="78" t="s">
        <v>322</v>
      </c>
      <c r="C66" s="143">
        <v>35.299999999999997</v>
      </c>
      <c r="D66" s="78" t="s">
        <v>57</v>
      </c>
      <c r="E66" s="257" t="s">
        <v>386</v>
      </c>
      <c r="F66" s="257"/>
      <c r="G66" s="257"/>
      <c r="H66" s="257"/>
      <c r="I66" s="257"/>
      <c r="J66" s="257"/>
      <c r="K66" s="257"/>
      <c r="L66" s="257"/>
      <c r="M66" s="257"/>
      <c r="N66" s="257"/>
      <c r="O66" s="257"/>
      <c r="P66" s="257"/>
      <c r="Q66" s="100"/>
    </row>
    <row r="67" spans="1:17" x14ac:dyDescent="0.25">
      <c r="A67" s="106"/>
      <c r="B67" s="78" t="s">
        <v>55</v>
      </c>
      <c r="C67" s="143">
        <v>4.7</v>
      </c>
      <c r="D67" s="78"/>
      <c r="E67" s="257" t="s">
        <v>387</v>
      </c>
      <c r="F67" s="257"/>
      <c r="G67" s="257"/>
      <c r="H67" s="257"/>
      <c r="I67" s="257"/>
      <c r="J67" s="257"/>
      <c r="K67" s="257"/>
      <c r="L67" s="257"/>
      <c r="M67" s="257"/>
      <c r="N67" s="257"/>
      <c r="O67" s="257"/>
      <c r="P67" s="257"/>
      <c r="Q67" s="100"/>
    </row>
    <row r="68" spans="1:17" ht="15" customHeight="1" x14ac:dyDescent="0.25">
      <c r="A68" s="106"/>
      <c r="B68" s="78" t="s">
        <v>6</v>
      </c>
      <c r="C68" s="143">
        <v>90</v>
      </c>
      <c r="D68" s="78" t="s">
        <v>48</v>
      </c>
      <c r="E68" s="257" t="s">
        <v>388</v>
      </c>
      <c r="F68" s="257"/>
      <c r="G68" s="257"/>
      <c r="H68" s="257"/>
      <c r="I68" s="257"/>
      <c r="J68" s="257"/>
      <c r="K68" s="257"/>
      <c r="L68" s="257"/>
      <c r="M68" s="257"/>
      <c r="N68" s="257"/>
      <c r="O68" s="257"/>
      <c r="P68" s="257"/>
      <c r="Q68" s="100"/>
    </row>
    <row r="69" spans="1:17" ht="15" customHeight="1" x14ac:dyDescent="0.25">
      <c r="A69" s="106"/>
      <c r="B69" s="135" t="s">
        <v>125</v>
      </c>
      <c r="C69" s="144">
        <v>26.5</v>
      </c>
      <c r="D69" s="135" t="s">
        <v>57</v>
      </c>
      <c r="E69" s="317" t="s">
        <v>284</v>
      </c>
      <c r="F69" s="318"/>
      <c r="G69" s="318"/>
      <c r="H69" s="318"/>
      <c r="I69" s="318"/>
      <c r="J69" s="318"/>
      <c r="K69" s="318"/>
      <c r="L69" s="318"/>
      <c r="M69" s="318"/>
      <c r="N69" s="318"/>
      <c r="O69" s="318"/>
      <c r="P69" s="319"/>
      <c r="Q69" s="100"/>
    </row>
    <row r="70" spans="1:17" ht="18" customHeight="1" x14ac:dyDescent="0.25">
      <c r="A70" s="106"/>
      <c r="B70" s="18" t="s">
        <v>170</v>
      </c>
      <c r="C70" s="20">
        <f>C69*C68/420/C17/C14*C15/SQRT((C27/(C28-C27)*C34/C22))</f>
        <v>154.99831372504858</v>
      </c>
      <c r="D70" s="18" t="s">
        <v>12</v>
      </c>
      <c r="E70" s="183" t="str">
        <f>"Calculated gas capacity for selected L &amp; D (Should be more than " &amp; C6 &amp; " MMSCFD -  input value)"</f>
        <v>Calculated gas capacity for selected L &amp; D (Should be more than 8 MMSCFD -  input value)</v>
      </c>
      <c r="F70" s="183"/>
      <c r="G70" s="183"/>
      <c r="H70" s="183"/>
      <c r="I70" s="183"/>
      <c r="J70" s="183"/>
      <c r="K70" s="183"/>
      <c r="L70" s="183"/>
      <c r="M70" s="183"/>
      <c r="N70" s="183"/>
      <c r="O70" s="183"/>
      <c r="P70" s="183"/>
      <c r="Q70" s="100"/>
    </row>
    <row r="71" spans="1:17" x14ac:dyDescent="0.25">
      <c r="A71" s="106"/>
      <c r="B71" s="22"/>
      <c r="C71" s="21"/>
      <c r="D71" s="21"/>
      <c r="E71" s="21"/>
      <c r="F71" s="21"/>
      <c r="G71" s="21"/>
      <c r="H71" s="21"/>
      <c r="I71" s="21"/>
      <c r="J71" s="21"/>
      <c r="K71" s="21"/>
      <c r="L71" s="21"/>
      <c r="M71" s="21"/>
      <c r="N71" s="21"/>
      <c r="O71" s="21"/>
      <c r="P71" s="23"/>
      <c r="Q71" s="100"/>
    </row>
    <row r="72" spans="1:17" x14ac:dyDescent="0.25">
      <c r="A72" s="106"/>
      <c r="B72" s="195" t="s">
        <v>132</v>
      </c>
      <c r="C72" s="195"/>
      <c r="D72" s="195"/>
      <c r="E72" s="195"/>
      <c r="F72" s="195"/>
      <c r="G72" s="195"/>
      <c r="H72" s="195"/>
      <c r="I72" s="195"/>
      <c r="J72" s="195"/>
      <c r="K72" s="195"/>
      <c r="L72" s="195"/>
      <c r="M72" s="195"/>
      <c r="N72" s="195"/>
      <c r="O72" s="195"/>
      <c r="P72" s="195"/>
      <c r="Q72" s="100"/>
    </row>
    <row r="73" spans="1:17" ht="15" customHeight="1" x14ac:dyDescent="0.25">
      <c r="A73" s="106"/>
      <c r="B73" s="183" t="s">
        <v>136</v>
      </c>
      <c r="C73" s="183"/>
      <c r="D73" s="183"/>
      <c r="E73" s="183"/>
      <c r="F73" s="183"/>
      <c r="G73" s="183"/>
      <c r="H73" s="183"/>
      <c r="I73" s="183"/>
      <c r="J73" s="183"/>
      <c r="K73" s="183"/>
      <c r="L73" s="183"/>
      <c r="M73" s="183"/>
      <c r="N73" s="183"/>
      <c r="O73" s="183"/>
      <c r="P73" s="183"/>
      <c r="Q73" s="100"/>
    </row>
    <row r="74" spans="1:17" x14ac:dyDescent="0.25">
      <c r="A74" s="103"/>
      <c r="B74" s="104"/>
      <c r="C74" s="104"/>
      <c r="D74" s="104"/>
      <c r="E74" s="104"/>
      <c r="F74" s="104"/>
      <c r="G74" s="104"/>
      <c r="H74" s="104"/>
      <c r="I74" s="104"/>
      <c r="J74" s="104"/>
      <c r="K74" s="104"/>
      <c r="L74" s="104"/>
      <c r="M74" s="104"/>
      <c r="N74" s="104"/>
      <c r="O74" s="104"/>
      <c r="P74" s="104"/>
      <c r="Q74" s="105"/>
    </row>
  </sheetData>
  <mergeCells count="64">
    <mergeCell ref="E46:I46"/>
    <mergeCell ref="E49:I49"/>
    <mergeCell ref="E67:P67"/>
    <mergeCell ref="E68:P68"/>
    <mergeCell ref="E69:P69"/>
    <mergeCell ref="K57:M57"/>
    <mergeCell ref="N57:P57"/>
    <mergeCell ref="K58:M58"/>
    <mergeCell ref="N58:P58"/>
    <mergeCell ref="K59:M59"/>
    <mergeCell ref="N59:P59"/>
    <mergeCell ref="K60:M60"/>
    <mergeCell ref="N60:P60"/>
    <mergeCell ref="B52:H52"/>
    <mergeCell ref="K54:P54"/>
    <mergeCell ref="K55:M55"/>
    <mergeCell ref="E44:F44"/>
    <mergeCell ref="E36:F36"/>
    <mergeCell ref="E30:F30"/>
    <mergeCell ref="E43:I43"/>
    <mergeCell ref="E35:I35"/>
    <mergeCell ref="E33:I33"/>
    <mergeCell ref="E34:I34"/>
    <mergeCell ref="E16:I16"/>
    <mergeCell ref="E17:I17"/>
    <mergeCell ref="E18:I18"/>
    <mergeCell ref="E14:I14"/>
    <mergeCell ref="B5:I5"/>
    <mergeCell ref="E6:I6"/>
    <mergeCell ref="E7:I7"/>
    <mergeCell ref="E8:I8"/>
    <mergeCell ref="E9:I9"/>
    <mergeCell ref="B72:P72"/>
    <mergeCell ref="B73:P73"/>
    <mergeCell ref="M6:P6"/>
    <mergeCell ref="K6:K23"/>
    <mergeCell ref="K25:P25"/>
    <mergeCell ref="E66:P66"/>
    <mergeCell ref="E42:I42"/>
    <mergeCell ref="E24:F24"/>
    <mergeCell ref="E21:I21"/>
    <mergeCell ref="E22:I22"/>
    <mergeCell ref="E23:I23"/>
    <mergeCell ref="E10:I10"/>
    <mergeCell ref="E11:I11"/>
    <mergeCell ref="E12:I12"/>
    <mergeCell ref="E13:I13"/>
    <mergeCell ref="E38:I38"/>
    <mergeCell ref="N55:P55"/>
    <mergeCell ref="K56:M56"/>
    <mergeCell ref="N56:P56"/>
    <mergeCell ref="B2:P3"/>
    <mergeCell ref="E70:P70"/>
    <mergeCell ref="E39:I39"/>
    <mergeCell ref="E40:I40"/>
    <mergeCell ref="E41:I41"/>
    <mergeCell ref="B25:I25"/>
    <mergeCell ref="E27:I27"/>
    <mergeCell ref="E28:I28"/>
    <mergeCell ref="E31:I31"/>
    <mergeCell ref="E32:I32"/>
    <mergeCell ref="E19:I19"/>
    <mergeCell ref="E20:I20"/>
    <mergeCell ref="E15:I15"/>
  </mergeCells>
  <conditionalFormatting sqref="H54:H64">
    <cfRule type="cellIs" dxfId="6" priority="8" operator="between">
      <formula>3</formula>
      <formula>5</formula>
    </cfRule>
  </conditionalFormatting>
  <conditionalFormatting sqref="C70">
    <cfRule type="cellIs" dxfId="5" priority="6" operator="lessThan">
      <formula>$C$6</formula>
    </cfRule>
  </conditionalFormatting>
  <conditionalFormatting sqref="C35">
    <cfRule type="cellIs" dxfId="4" priority="4" stopIfTrue="1" operator="lessThan">
      <formula>-0.001</formula>
    </cfRule>
    <cfRule type="cellIs" dxfId="3" priority="5" stopIfTrue="1" operator="greaterThan">
      <formula>0.001</formula>
    </cfRule>
  </conditionalFormatting>
  <conditionalFormatting sqref="C42">
    <cfRule type="cellIs" dxfId="2" priority="2" operator="greaterThan">
      <formula>0.001</formula>
    </cfRule>
    <cfRule type="cellIs" dxfId="1" priority="3" operator="lessThan">
      <formula>-0.001</formula>
    </cfRule>
  </conditionalFormatting>
  <conditionalFormatting sqref="B54:B64">
    <cfRule type="cellIs" dxfId="0" priority="1" operator="lessThan">
      <formula>$C$43</formula>
    </cfRule>
  </conditionalFormatting>
  <hyperlinks>
    <hyperlink ref="R1" location="Index!A1" display="INDEX"/>
  </hyperlinks>
  <pageMargins left="0.7" right="0.7" top="0.75" bottom="0.75" header="0.3" footer="0.3"/>
  <pageSetup paperSize="8"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Index</vt:lpstr>
      <vt:lpstr>Discussion</vt:lpstr>
      <vt:lpstr>Nomenclature</vt:lpstr>
      <vt:lpstr>References</vt:lpstr>
      <vt:lpstr>Std. Sep. sizes</vt:lpstr>
      <vt:lpstr>5A</vt:lpstr>
      <vt:lpstr>5B</vt:lpstr>
      <vt:lpstr>5C</vt:lpstr>
      <vt:lpstr>5D</vt:lpstr>
      <vt:lpstr>6A</vt:lpstr>
      <vt:lpstr>6B</vt:lpstr>
      <vt:lpstr>6C</vt:lpstr>
      <vt:lpstr>6D</vt:lpstr>
    </vt:vector>
  </TitlesOfParts>
  <Company>Ramboll 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Satpute</dc:creator>
  <cp:lastModifiedBy>Ajay Satpute</cp:lastModifiedBy>
  <cp:lastPrinted>2014-10-28T11:07:25Z</cp:lastPrinted>
  <dcterms:created xsi:type="dcterms:W3CDTF">2014-10-22T11:31:53Z</dcterms:created>
  <dcterms:modified xsi:type="dcterms:W3CDTF">2014-12-21T03:52:08Z</dcterms:modified>
</cp:coreProperties>
</file>