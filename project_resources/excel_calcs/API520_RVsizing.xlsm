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-15" yWindow="-15" windowWidth="7695" windowHeight="8970" tabRatio="832" activeTab="1"/>
  </bookViews>
  <sheets>
    <sheet name="Summary" sheetId="6" r:id="rId1"/>
    <sheet name="RV Selection(Crit flow)" sheetId="3" r:id="rId2"/>
    <sheet name="RV Selection (sub-crit)" sheetId="8" r:id="rId3"/>
    <sheet name="RV Selection Liq cert" sheetId="9" r:id="rId4"/>
    <sheet name="Spare" sheetId="7" r:id="rId5"/>
  </sheets>
  <externalReferences>
    <externalReference r:id="rId6"/>
    <externalReference r:id="rId7"/>
  </externalReferences>
  <definedNames>
    <definedName name="_Fill" localSheetId="2" hidden="1">#REF!</definedName>
    <definedName name="_Fill" localSheetId="3" hidden="1">#REF!</definedName>
    <definedName name="_Fill" localSheetId="1" hidden="1">#REF!</definedName>
    <definedName name="_Fill" hidden="1">#REF!</definedName>
    <definedName name="Approved_Process">Summary!$C$66</definedName>
    <definedName name="Carea">'RV Selection Liq cert'!$F$22</definedName>
    <definedName name="CFBOTRIGHT" localSheetId="1">#REF!</definedName>
    <definedName name="Checked_by">Summary!$C$65</definedName>
    <definedName name="Document">Summary!$P$1</definedName>
    <definedName name="fg_fill" hidden="1">#REF!</definedName>
    <definedName name="ItemNo" localSheetId="1">#REF!</definedName>
    <definedName name="JONo" localSheetId="1">#REF!</definedName>
    <definedName name="LIQUNITS">'RV Selection Liq cert'!$H$10</definedName>
    <definedName name="Loc" localSheetId="1">#REF!</definedName>
    <definedName name="Made_by">Summary!$C$64</definedName>
    <definedName name="orifices" localSheetId="2">'RV Selection(Crit flow)'!$Q$10:$R$24</definedName>
    <definedName name="orifices" localSheetId="3">'RV Selection Liq cert'!$N$58:$O$72</definedName>
    <definedName name="orifices">'RV Selection(Crit flow)'!$Q$10:$R$24</definedName>
    <definedName name="orificesize" localSheetId="2">'RV Selection(Crit flow)'!$R$10:$S$24</definedName>
    <definedName name="orificesize" localSheetId="3">'RV Selection Liq cert'!$O$58:$P$71</definedName>
    <definedName name="orificesize" localSheetId="0">#REF!</definedName>
    <definedName name="orificesize">'RV Selection(Crit flow)'!$R$10:$S$23</definedName>
    <definedName name="_xlnm.Print_Area" localSheetId="2">'RV Selection (sub-crit)'!$B$1:$H$68</definedName>
    <definedName name="_xlnm.Print_Area" localSheetId="1">'RV Selection(Crit flow)'!$B$1:$H$71</definedName>
    <definedName name="_xlnm.Print_Area" localSheetId="0">Summary!$A$1:$V$67</definedName>
    <definedName name="solver_adj" localSheetId="1" hidden="1">'RV Selection(Crit flow)'!$F$16</definedName>
    <definedName name="solver_cvg" localSheetId="1" hidden="1">0.001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'RV Selection(Crit flow)'!$V$20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UNITS">'RV Selection(Crit flow)'!$J$4</definedName>
    <definedName name="VALVES" localSheetId="1">#REF!</definedName>
    <definedName name="wrn.Calulation._.Sheets." localSheetId="2" hidden="1">{#N/A,#N/A,FALSE,"cover";#N/A,#N/A,FALSE,"page_1";#N/A,#N/A,FALSE,"page_2";#N/A,#N/A,FALSE,"page_3";#N/A,#N/A,FALSE,"page_4"}</definedName>
    <definedName name="wrn.Calulation._.Sheets." localSheetId="3" hidden="1">{#N/A,#N/A,FALSE,"cover";#N/A,#N/A,FALSE,"page_1";#N/A,#N/A,FALSE,"page_2";#N/A,#N/A,FALSE,"page_3";#N/A,#N/A,FALSE,"page_4"}</definedName>
    <definedName name="wrn.Calulation._.Sheets." localSheetId="0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Z">'RV Selection(Crit flow)'!$F$19</definedName>
  </definedNames>
  <calcPr calcId="125725" iterate="1"/>
</workbook>
</file>

<file path=xl/calcChain.xml><?xml version="1.0" encoding="utf-8"?>
<calcChain xmlns="http://schemas.openxmlformats.org/spreadsheetml/2006/main">
  <c r="C6" i="8"/>
  <c r="C7"/>
  <c r="C8"/>
  <c r="E9"/>
  <c r="B10"/>
  <c r="E10"/>
  <c r="F10"/>
  <c r="B11"/>
  <c r="E11"/>
  <c r="F11"/>
  <c r="B12"/>
  <c r="E12"/>
  <c r="F12"/>
  <c r="B13"/>
  <c r="F13"/>
  <c r="B14"/>
  <c r="E14"/>
  <c r="F14"/>
  <c r="F25" s="1"/>
  <c r="B15"/>
  <c r="E15"/>
  <c r="F15"/>
  <c r="B16"/>
  <c r="E16"/>
  <c r="F16"/>
  <c r="B17"/>
  <c r="E17"/>
  <c r="F17"/>
  <c r="B18"/>
  <c r="E18"/>
  <c r="F18"/>
  <c r="B19"/>
  <c r="E19"/>
  <c r="F19"/>
  <c r="B20"/>
  <c r="E20"/>
  <c r="B21"/>
  <c r="E21"/>
  <c r="F21"/>
  <c r="F22"/>
  <c r="B23"/>
  <c r="E23"/>
  <c r="E25"/>
  <c r="E26"/>
  <c r="F26"/>
  <c r="E27"/>
  <c r="F33"/>
  <c r="F34" s="1"/>
  <c r="F35"/>
  <c r="E42"/>
  <c r="E45"/>
  <c r="E49"/>
  <c r="E51"/>
  <c r="E54"/>
  <c r="E11" i="9"/>
  <c r="F13"/>
  <c r="E14"/>
  <c r="E16"/>
  <c r="E17"/>
  <c r="F22"/>
  <c r="F23"/>
  <c r="E28"/>
  <c r="F28"/>
  <c r="G28"/>
  <c r="E29"/>
  <c r="F29"/>
  <c r="E33"/>
  <c r="E35"/>
  <c r="C58"/>
  <c r="D58"/>
  <c r="E58"/>
  <c r="F58"/>
  <c r="G58"/>
  <c r="H58"/>
  <c r="C59"/>
  <c r="D59"/>
  <c r="E59"/>
  <c r="F59"/>
  <c r="G59"/>
  <c r="H59"/>
  <c r="E60"/>
  <c r="H60"/>
  <c r="D61"/>
  <c r="E61"/>
  <c r="H61"/>
  <c r="E62"/>
  <c r="H62"/>
  <c r="E63"/>
  <c r="H63"/>
  <c r="E64"/>
  <c r="H64"/>
  <c r="E65"/>
  <c r="H65"/>
  <c r="K4" i="3"/>
  <c r="G7"/>
  <c r="M9"/>
  <c r="E11"/>
  <c r="K11"/>
  <c r="M11" s="1"/>
  <c r="M12"/>
  <c r="E13"/>
  <c r="K13"/>
  <c r="M13" s="1"/>
  <c r="M14"/>
  <c r="V14"/>
  <c r="V16" s="1"/>
  <c r="V17" s="1"/>
  <c r="V18" s="1"/>
  <c r="V19" s="1"/>
  <c r="V20" s="1"/>
  <c r="V21" s="1"/>
  <c r="W14"/>
  <c r="E15"/>
  <c r="K15"/>
  <c r="M15" s="1"/>
  <c r="V15"/>
  <c r="E16"/>
  <c r="K16"/>
  <c r="M16" s="1"/>
  <c r="E17"/>
  <c r="K17"/>
  <c r="L17"/>
  <c r="M18"/>
  <c r="M19"/>
  <c r="M20"/>
  <c r="M21"/>
  <c r="M22"/>
  <c r="E23"/>
  <c r="F23"/>
  <c r="M23"/>
  <c r="E24"/>
  <c r="F24"/>
  <c r="F23" i="8" s="1"/>
  <c r="K24" i="3"/>
  <c r="V24"/>
  <c r="E28"/>
  <c r="F28"/>
  <c r="G28"/>
  <c r="K28"/>
  <c r="K29"/>
  <c r="E32"/>
  <c r="F32"/>
  <c r="F34" s="1"/>
  <c r="E33"/>
  <c r="F33"/>
  <c r="F38"/>
  <c r="E43"/>
  <c r="E44"/>
  <c r="E48"/>
  <c r="E52"/>
  <c r="E53"/>
  <c r="E55"/>
  <c r="C64"/>
  <c r="C60" i="9" s="1"/>
  <c r="D64" i="3"/>
  <c r="D60" i="9" s="1"/>
  <c r="F64" i="3"/>
  <c r="F60" i="9" s="1"/>
  <c r="G64" i="3"/>
  <c r="G60" i="9" s="1"/>
  <c r="C65" i="3"/>
  <c r="C61" i="9" s="1"/>
  <c r="D65" i="3"/>
  <c r="F65"/>
  <c r="F61" i="9" s="1"/>
  <c r="G65" i="3"/>
  <c r="G61" i="9" s="1"/>
  <c r="C66" i="3"/>
  <c r="C62" i="9" s="1"/>
  <c r="D66" i="3"/>
  <c r="D62" i="9" s="1"/>
  <c r="F66" i="3"/>
  <c r="F62" i="9" s="1"/>
  <c r="G66" i="3"/>
  <c r="G62" i="9" s="1"/>
  <c r="C67" i="3"/>
  <c r="C63" i="9" s="1"/>
  <c r="D67" i="3"/>
  <c r="D63" i="9" s="1"/>
  <c r="F67" i="3"/>
  <c r="F63" i="9" s="1"/>
  <c r="G67" i="3"/>
  <c r="G63" i="9" s="1"/>
  <c r="C68" i="3"/>
  <c r="C64" i="9" s="1"/>
  <c r="D68" i="3"/>
  <c r="D64" i="9" s="1"/>
  <c r="F68" i="3"/>
  <c r="F64" i="9" s="1"/>
  <c r="G68" i="3"/>
  <c r="G64" i="9" s="1"/>
  <c r="C69" i="3"/>
  <c r="C65" i="9" s="1"/>
  <c r="D69" i="3"/>
  <c r="D65" i="9" s="1"/>
  <c r="F69" i="3"/>
  <c r="F65" i="9" s="1"/>
  <c r="G69" i="3"/>
  <c r="G65" i="9" s="1"/>
  <c r="C70" i="3"/>
  <c r="D70"/>
  <c r="F70"/>
  <c r="G70"/>
  <c r="Y64" i="6"/>
  <c r="Y65"/>
  <c r="Y66"/>
  <c r="F27" i="8" l="1"/>
  <c r="F36" s="1"/>
  <c r="F42"/>
  <c r="F44" s="1"/>
  <c r="M17" i="3"/>
  <c r="AB34"/>
  <c r="G34"/>
  <c r="F28" i="8"/>
  <c r="G28" s="1"/>
  <c r="F43" i="3"/>
  <c r="F37" i="8" l="1"/>
  <c r="F38" s="1"/>
  <c r="F43" s="1"/>
  <c r="F45" s="1"/>
  <c r="V25" i="3"/>
  <c r="V27"/>
  <c r="V26"/>
  <c r="F44"/>
  <c r="F49" i="8" l="1"/>
  <c r="F50"/>
  <c r="M4" i="3"/>
  <c r="F51" s="1"/>
  <c r="F52" s="1"/>
  <c r="F48"/>
  <c r="F55"/>
  <c r="G53"/>
  <c r="F51" i="8" l="1"/>
  <c r="F54" s="1"/>
  <c r="C58"/>
  <c r="F21" i="9"/>
  <c r="F33"/>
  <c r="F34"/>
  <c r="F35"/>
  <c r="F38"/>
  <c r="F41"/>
  <c r="C52"/>
</calcChain>
</file>

<file path=xl/sharedStrings.xml><?xml version="1.0" encoding="utf-8"?>
<sst xmlns="http://schemas.openxmlformats.org/spreadsheetml/2006/main" count="347" uniqueCount="236">
  <si>
    <t>-</t>
  </si>
  <si>
    <t>Sheet No.</t>
  </si>
  <si>
    <t>Calculations for:</t>
  </si>
  <si>
    <t>REQUIRED CAPACITY (W) =</t>
  </si>
  <si>
    <t>MOLECULAR WEIGHT (M) =</t>
  </si>
  <si>
    <t>OVERPRESSURE =</t>
  </si>
  <si>
    <t>RELIEVING PRESSURE (P1) =</t>
  </si>
  <si>
    <t>TEMPERATURE (T) =</t>
  </si>
  <si>
    <t>SPECIFIC HEAT RATIO (k) =</t>
  </si>
  <si>
    <t>COMPRESSIBILITY (z) =</t>
  </si>
  <si>
    <t xml:space="preserve">  d = </t>
  </si>
  <si>
    <t xml:space="preserve">Selected Orifice = </t>
  </si>
  <si>
    <t xml:space="preserve">Rated Flow per PSV = </t>
  </si>
  <si>
    <t>kg/h</t>
  </si>
  <si>
    <t>Conclusion :</t>
  </si>
  <si>
    <t>Relief valve selection table:</t>
  </si>
  <si>
    <t>=============================</t>
  </si>
  <si>
    <t>Data:</t>
  </si>
  <si>
    <t>Orifice</t>
  </si>
  <si>
    <t>Area</t>
  </si>
  <si>
    <t>1 D 2</t>
  </si>
  <si>
    <t>4 L 6</t>
  </si>
  <si>
    <t>1 E 2</t>
  </si>
  <si>
    <t>4 M 6</t>
  </si>
  <si>
    <t>1.5 F 2</t>
  </si>
  <si>
    <t>4 N 6</t>
  </si>
  <si>
    <t>2 G 3</t>
  </si>
  <si>
    <t>4 P 6</t>
  </si>
  <si>
    <t>2 H 3</t>
  </si>
  <si>
    <t>6 Q 8</t>
  </si>
  <si>
    <t>3 J 4</t>
  </si>
  <si>
    <t>6 R 10</t>
  </si>
  <si>
    <t>3 K 6</t>
  </si>
  <si>
    <t>8 T 10</t>
  </si>
  <si>
    <r>
      <t>in</t>
    </r>
    <r>
      <rPr>
        <b/>
        <vertAlign val="superscript"/>
        <sz val="10"/>
        <rFont val="Arial"/>
        <family val="2"/>
      </rPr>
      <t>2</t>
    </r>
  </si>
  <si>
    <r>
      <t>P1 * C * K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* K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* K</t>
    </r>
    <r>
      <rPr>
        <vertAlign val="subscript"/>
        <sz val="10"/>
        <rFont val="Arial"/>
        <family val="2"/>
      </rPr>
      <t>c</t>
    </r>
  </si>
  <si>
    <r>
      <t>COMBINATION CORRECTION FACTOR (K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</t>
    </r>
  </si>
  <si>
    <t xml:space="preserve">Checked by: </t>
  </si>
  <si>
    <t xml:space="preserve">Date: </t>
  </si>
  <si>
    <t>Calculated by:</t>
  </si>
  <si>
    <t>Too big</t>
  </si>
  <si>
    <t xml:space="preserve">Relief Valve : </t>
  </si>
  <si>
    <t>%</t>
  </si>
  <si>
    <t>Case</t>
  </si>
  <si>
    <t>PROCESS CALCULATION</t>
  </si>
  <si>
    <t>Document No.</t>
  </si>
  <si>
    <t>SUMMARY SHEET</t>
  </si>
  <si>
    <t>Sheet</t>
  </si>
  <si>
    <t>of</t>
  </si>
  <si>
    <t>Rev.</t>
  </si>
  <si>
    <t xml:space="preserve">  Job</t>
  </si>
  <si>
    <t>203383   Shell Gabon Rabi 3 EPCM</t>
  </si>
  <si>
    <t>Item No. (s)</t>
  </si>
  <si>
    <t xml:space="preserve">  Item Name / Subject</t>
  </si>
  <si>
    <t xml:space="preserve">   1.  OBJECTIVE</t>
  </si>
  <si>
    <t xml:space="preserve">   2.  ASSUMPTIONS</t>
  </si>
  <si>
    <t xml:space="preserve">   3.  REFERENCES</t>
  </si>
  <si>
    <t xml:space="preserve">   4.  CONCLUSIONS</t>
  </si>
  <si>
    <t>Date</t>
  </si>
  <si>
    <t>Description</t>
  </si>
  <si>
    <t>Made / Revised by</t>
  </si>
  <si>
    <t>JG</t>
  </si>
  <si>
    <t>Checked by</t>
  </si>
  <si>
    <t>Approved Process</t>
  </si>
  <si>
    <t>Approved</t>
  </si>
  <si>
    <t>To size suitable relief valves to protect</t>
  </si>
  <si>
    <t>from any possible overpressure</t>
  </si>
  <si>
    <t xml:space="preserve">1.  API RP520 Part.1 </t>
  </si>
  <si>
    <t>2.  Shell DEP 80.45.10.10-Gen</t>
  </si>
  <si>
    <t>3.  Gas Processors Suppliers Assoc.,"Engineering Data Book"</t>
  </si>
  <si>
    <t>The fire load was calculated as</t>
  </si>
  <si>
    <t>The calculated relief area is</t>
  </si>
  <si>
    <r>
      <t>mm</t>
    </r>
    <r>
      <rPr>
        <vertAlign val="superscript"/>
        <sz val="14"/>
        <color indexed="10"/>
        <rFont val="Arial"/>
        <family val="2"/>
      </rPr>
      <t>2</t>
    </r>
  </si>
  <si>
    <t>Ref: GPSA Engineering Data Book Fig. 5-7</t>
  </si>
  <si>
    <t>Ref.   API 520 Eq.3.2</t>
  </si>
  <si>
    <t>lb/h,psig,F,in2</t>
  </si>
  <si>
    <t>kg/h,barg,C,mm2</t>
  </si>
  <si>
    <t>Units selection</t>
  </si>
  <si>
    <t>Comments</t>
  </si>
  <si>
    <t>P1 = Pset * ( 1 + Overpressure) + Patm</t>
  </si>
  <si>
    <t>ATMOS PRESSURE (Patm)=</t>
  </si>
  <si>
    <r>
      <t>CAPACITY CORRECTION FACTOR (K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>)</t>
    </r>
  </si>
  <si>
    <r>
      <t>COEFF. OF DISCHARGE (K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) =</t>
    </r>
  </si>
  <si>
    <r>
      <t>Calculation formula for rated flow =  A</t>
    </r>
    <r>
      <rPr>
        <b/>
        <vertAlign val="subscript"/>
        <sz val="10"/>
        <rFont val="Arial"/>
        <family val="2"/>
      </rPr>
      <t>select</t>
    </r>
    <r>
      <rPr>
        <b/>
        <sz val="10"/>
        <rFont val="Arial"/>
        <family val="2"/>
      </rPr>
      <t xml:space="preserve"> / A</t>
    </r>
    <r>
      <rPr>
        <b/>
        <vertAlign val="subscript"/>
        <sz val="10"/>
        <rFont val="Arial"/>
        <family val="2"/>
      </rPr>
      <t>calc</t>
    </r>
    <r>
      <rPr>
        <b/>
        <sz val="10"/>
        <rFont val="Arial"/>
        <family val="2"/>
      </rPr>
      <t xml:space="preserve"> * W</t>
    </r>
  </si>
  <si>
    <t>SET PRESSURE (Pset)  =</t>
  </si>
  <si>
    <r>
      <t xml:space="preserve"> </t>
    </r>
    <r>
      <rPr>
        <sz val="10"/>
        <rFont val="Symbol"/>
        <family val="1"/>
        <charset val="2"/>
      </rPr>
      <t xml:space="preserve">Ö  </t>
    </r>
    <r>
      <rPr>
        <sz val="10"/>
        <rFont val="Arial"/>
        <family val="2"/>
      </rPr>
      <t>(4 * A</t>
    </r>
    <r>
      <rPr>
        <vertAlign val="subscript"/>
        <sz val="10"/>
        <rFont val="Arial"/>
        <family val="2"/>
      </rPr>
      <t>G</t>
    </r>
    <r>
      <rPr>
        <sz val="10"/>
        <rFont val="Arial"/>
        <family val="2"/>
      </rPr>
      <t xml:space="preserve">/ </t>
    </r>
    <r>
      <rPr>
        <sz val="10"/>
        <rFont val="Symbol"/>
        <family val="1"/>
        <charset val="2"/>
      </rPr>
      <t xml:space="preserve">p </t>
    </r>
    <r>
      <rPr>
        <sz val="10"/>
        <rFont val="Arial"/>
        <family val="2"/>
      </rPr>
      <t>)</t>
    </r>
  </si>
  <si>
    <t>Calculation formula for diameter (d)</t>
  </si>
  <si>
    <t>Calculation formula for relieving pressure( P1 )</t>
  </si>
  <si>
    <t>Ref. API 520 Fig.32</t>
  </si>
  <si>
    <t>ground level</t>
  </si>
  <si>
    <t>Units</t>
  </si>
  <si>
    <t>Input values</t>
  </si>
  <si>
    <t>SI</t>
  </si>
  <si>
    <t>BACK PRESSURE(Pback)</t>
  </si>
  <si>
    <t>Calculation formula for critical back pressure(Pcf)</t>
  </si>
  <si>
    <r>
      <t>Pcf = P1 * [ 2 / (k+1) ]</t>
    </r>
    <r>
      <rPr>
        <vertAlign val="superscript"/>
        <sz val="11"/>
        <rFont val="Arial"/>
        <family val="2"/>
      </rPr>
      <t xml:space="preserve"> {k/(k-1)}</t>
    </r>
  </si>
  <si>
    <t>CRITICAL BACK PRESSURE(Pcf) =</t>
  </si>
  <si>
    <t>ASME VIII non-fire single valve</t>
  </si>
  <si>
    <t>API RP520 para 3.6.3</t>
  </si>
  <si>
    <t>k/(k-1)</t>
  </si>
  <si>
    <t>r</t>
  </si>
  <si>
    <t>2/k</t>
  </si>
  <si>
    <t>1-r</t>
  </si>
  <si>
    <t>(k-1)/k</t>
  </si>
  <si>
    <r>
      <t>Calculate required orifice area (A</t>
    </r>
    <r>
      <rPr>
        <b/>
        <vertAlign val="subscript"/>
        <sz val="10"/>
        <rFont val="Arial"/>
        <family val="2"/>
      </rPr>
      <t>G</t>
    </r>
    <r>
      <rPr>
        <b/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</si>
  <si>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 SQRT[ {k/(k-1)} * r</t>
    </r>
    <r>
      <rPr>
        <vertAlign val="superscript"/>
        <sz val="10"/>
        <rFont val="Arial"/>
        <family val="2"/>
      </rPr>
      <t>2/k</t>
    </r>
    <r>
      <rPr>
        <sz val="10"/>
        <rFont val="Arial"/>
        <family val="2"/>
      </rPr>
      <t xml:space="preserve"> * {(1-r</t>
    </r>
    <r>
      <rPr>
        <vertAlign val="superscript"/>
        <sz val="10"/>
        <rFont val="Arial"/>
        <family val="2"/>
      </rPr>
      <t>((k-1)/k)</t>
    </r>
    <r>
      <rPr>
        <sz val="10"/>
        <rFont val="Arial"/>
        <family val="2"/>
      </rPr>
      <t xml:space="preserve">  / (1-r) } ]</t>
    </r>
  </si>
  <si>
    <r>
      <t>F</t>
    </r>
    <r>
      <rPr>
        <vertAlign val="subscript"/>
        <sz val="10"/>
        <rFont val="Arial"/>
        <family val="2"/>
      </rPr>
      <t>2</t>
    </r>
  </si>
  <si>
    <t>The following equations are valid for critical flow of Gas or Vapour only</t>
  </si>
  <si>
    <t>Calculation for Subcritical Flow of Gas or Vapour</t>
  </si>
  <si>
    <t>API RP520 Examples</t>
  </si>
  <si>
    <r>
      <t>Selected Orifice Area (A</t>
    </r>
    <r>
      <rPr>
        <vertAlign val="subscript"/>
        <sz val="10"/>
        <rFont val="Arial"/>
        <family val="2"/>
      </rPr>
      <t>sel</t>
    </r>
    <r>
      <rPr>
        <sz val="10"/>
        <rFont val="Arial"/>
        <family val="2"/>
      </rPr>
      <t xml:space="preserve">) = </t>
    </r>
  </si>
  <si>
    <t>Relief Valve Sizing</t>
  </si>
  <si>
    <t>PRxxxx</t>
  </si>
  <si>
    <t>PSV  GAS/VAPOUR  SIZING CALCULATIONS</t>
  </si>
  <si>
    <r>
      <t>Calc. Area (A</t>
    </r>
    <r>
      <rPr>
        <b/>
        <vertAlign val="subscript"/>
        <sz val="10"/>
        <rFont val="Arial"/>
        <family val="2"/>
      </rPr>
      <t xml:space="preserve">G </t>
    </r>
    <r>
      <rPr>
        <b/>
        <sz val="10"/>
        <rFont val="Arial"/>
        <family val="2"/>
      </rPr>
      <t>)</t>
    </r>
  </si>
  <si>
    <r>
      <t>Selected Orifice area (A</t>
    </r>
    <r>
      <rPr>
        <b/>
        <vertAlign val="subscript"/>
        <sz val="10"/>
        <rFont val="Arial"/>
        <family val="2"/>
      </rPr>
      <t>sel</t>
    </r>
    <r>
      <rPr>
        <b/>
        <sz val="10"/>
        <rFont val="Arial"/>
        <family val="2"/>
      </rPr>
      <t xml:space="preserve">) = </t>
    </r>
  </si>
  <si>
    <r>
      <t>Calculate coefficient (F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</si>
  <si>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r>
      <t>COEFF. OF DISCHARGE (K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) =</t>
    </r>
  </si>
  <si>
    <t>PSV LIQUID CERTIFIED SIZING CALCULATIONS</t>
  </si>
  <si>
    <t>REQUIRED CAPACITY (Q) =</t>
  </si>
  <si>
    <t>SPECIFIC GRAVITY rel. water 60F(G) =</t>
  </si>
  <si>
    <r>
      <t>CORRECTION FACTOR DUE TO BACK PRESSURE (K</t>
    </r>
    <r>
      <rPr>
        <vertAlign val="subscript"/>
        <sz val="10"/>
        <rFont val="Arial"/>
        <family val="2"/>
      </rPr>
      <t>w</t>
    </r>
    <r>
      <rPr>
        <sz val="10"/>
        <rFont val="Arial"/>
        <family val="2"/>
      </rPr>
      <t>) =</t>
    </r>
  </si>
  <si>
    <r>
      <t>CORRECTION FACTOR FOR RUPTURE DISK (K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 =</t>
    </r>
  </si>
  <si>
    <t>VISCOSITY OF FLUID AT RELIEF CONDITIONS ( Mu)</t>
  </si>
  <si>
    <t>cP</t>
  </si>
  <si>
    <r>
      <t>CORRECTION FACTOR FOR VISCOSITY (K</t>
    </r>
    <r>
      <rPr>
        <vertAlign val="subscript"/>
        <sz val="10"/>
        <rFont val="Arial"/>
        <family val="2"/>
      </rPr>
      <t>v</t>
    </r>
    <r>
      <rPr>
        <sz val="10"/>
        <rFont val="Arial"/>
        <family val="2"/>
      </rPr>
      <t>) =</t>
    </r>
  </si>
  <si>
    <t>ITERATE FOR Kv?</t>
  </si>
  <si>
    <t>Init. Estimate</t>
  </si>
  <si>
    <t>YES</t>
  </si>
  <si>
    <t>NO</t>
  </si>
  <si>
    <t>Calculation formula for Sp. Ht. coefficient ( C )</t>
  </si>
  <si>
    <t>SP. HT COEFFICIENT (C) =</t>
  </si>
  <si>
    <t>USCust</t>
  </si>
  <si>
    <t>Standard Orifice tables</t>
  </si>
  <si>
    <t>Overpress</t>
  </si>
  <si>
    <t>Offset</t>
  </si>
  <si>
    <t>Multiplier</t>
  </si>
  <si>
    <t>area</t>
  </si>
  <si>
    <t>Temp</t>
  </si>
  <si>
    <t>Press</t>
  </si>
  <si>
    <t>Mass</t>
  </si>
  <si>
    <t>CONST. FOR CONVERSION TO ABS. TEMP( Tcon )</t>
  </si>
  <si>
    <t>SI units</t>
  </si>
  <si>
    <t>in2</t>
  </si>
  <si>
    <r>
      <t>W / Cunit / F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/ K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/ K</t>
    </r>
    <r>
      <rPr>
        <vertAlign val="subscript"/>
        <sz val="10"/>
        <rFont val="Arial"/>
        <family val="2"/>
      </rPr>
      <t>c</t>
    </r>
  </si>
  <si>
    <r>
      <t>A</t>
    </r>
    <r>
      <rPr>
        <vertAlign val="subscript"/>
        <sz val="10"/>
        <rFont val="Arial"/>
        <family val="2"/>
      </rPr>
      <t>GCF</t>
    </r>
    <r>
      <rPr>
        <sz val="10"/>
        <rFont val="Arial"/>
        <family val="2"/>
      </rPr>
      <t xml:space="preserve"> = </t>
    </r>
  </si>
  <si>
    <r>
      <t>Tabs = T + T</t>
    </r>
    <r>
      <rPr>
        <vertAlign val="subscript"/>
        <sz val="10"/>
        <rFont val="Arial"/>
        <family val="2"/>
      </rPr>
      <t>con</t>
    </r>
  </si>
  <si>
    <r>
      <t>C</t>
    </r>
    <r>
      <rPr>
        <vertAlign val="subscript"/>
        <sz val="10"/>
        <rFont val="Arial"/>
        <family val="2"/>
      </rPr>
      <t>cfoa</t>
    </r>
    <r>
      <rPr>
        <sz val="10"/>
        <rFont val="Arial"/>
        <family val="2"/>
      </rPr>
      <t xml:space="preserve"> * W * </t>
    </r>
    <r>
      <rPr>
        <sz val="10"/>
        <rFont val="Symbol"/>
        <family val="1"/>
        <charset val="2"/>
      </rPr>
      <t>Ö [</t>
    </r>
    <r>
      <rPr>
        <sz val="10"/>
        <rFont val="Arial"/>
        <family val="2"/>
      </rPr>
      <t xml:space="preserve"> ( T</t>
    </r>
    <r>
      <rPr>
        <vertAlign val="subscript"/>
        <sz val="10"/>
        <rFont val="Arial"/>
        <family val="2"/>
      </rPr>
      <t>abs</t>
    </r>
    <r>
      <rPr>
        <sz val="10"/>
        <rFont val="Arial"/>
        <family val="2"/>
      </rPr>
      <t>) * z / M ]</t>
    </r>
  </si>
  <si>
    <t>ACTUAL BACK PRESSURE(P2)</t>
  </si>
  <si>
    <t>Check if Critical Flow (P2 &lt;= Pcf)</t>
  </si>
  <si>
    <r>
      <t>Calc. Area ( A</t>
    </r>
    <r>
      <rPr>
        <vertAlign val="subscript"/>
        <sz val="10"/>
        <rFont val="Arial"/>
        <family val="2"/>
      </rPr>
      <t>cfoa</t>
    </r>
    <r>
      <rPr>
        <sz val="10"/>
        <rFont val="Arial"/>
        <family val="2"/>
      </rPr>
      <t>) =</t>
    </r>
  </si>
  <si>
    <r>
      <t>Calculation formula for crit. flow. calc. orif. area (A</t>
    </r>
    <r>
      <rPr>
        <b/>
        <vertAlign val="subscript"/>
        <sz val="10"/>
        <rFont val="Arial"/>
        <family val="2"/>
      </rPr>
      <t>GCF</t>
    </r>
    <r>
      <rPr>
        <b/>
        <sz val="10"/>
        <rFont val="Arial"/>
        <family val="2"/>
      </rPr>
      <t>)</t>
    </r>
  </si>
  <si>
    <t>Value</t>
  </si>
  <si>
    <t xml:space="preserve"> = P2 / P1</t>
  </si>
  <si>
    <t>Z * Tabs / M / P1 / (P1-P2)</t>
  </si>
  <si>
    <t>CONSTANT FOR Sub crit. orif. area (Cscoa)</t>
  </si>
  <si>
    <r>
      <t>A</t>
    </r>
    <r>
      <rPr>
        <vertAlign val="subscript"/>
        <sz val="10"/>
        <rFont val="Arial"/>
        <family val="2"/>
      </rPr>
      <t>G</t>
    </r>
    <r>
      <rPr>
        <sz val="10"/>
        <rFont val="Arial"/>
        <family val="2"/>
      </rPr>
      <t xml:space="preserve"> ={ W / C</t>
    </r>
    <r>
      <rPr>
        <vertAlign val="subscript"/>
        <sz val="10"/>
        <rFont val="Arial"/>
        <family val="2"/>
      </rPr>
      <t>scoa</t>
    </r>
    <r>
      <rPr>
        <sz val="10"/>
        <rFont val="Arial"/>
        <family val="2"/>
      </rPr>
      <t xml:space="preserve"> / F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/ K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/ K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} * SQRT [ Z * Tabs / M /  P1 / ( P1- P2) ]</t>
    </r>
  </si>
  <si>
    <t>The following equations are valid for sub-critical flow of Gas or Vapour (std valves) only</t>
  </si>
  <si>
    <t>mm2</t>
  </si>
  <si>
    <t>API Example3.6.3.2</t>
  </si>
  <si>
    <r>
      <t>CONSTANT FOR CRIT.FLOW ORIF. AREA (C</t>
    </r>
    <r>
      <rPr>
        <vertAlign val="subscript"/>
        <sz val="10"/>
        <rFont val="Arial"/>
        <family val="2"/>
      </rPr>
      <t>cfoa</t>
    </r>
    <r>
      <rPr>
        <sz val="10"/>
        <rFont val="Arial"/>
        <family val="2"/>
      </rPr>
      <t>)</t>
    </r>
  </si>
  <si>
    <t>Check for sub-criticality(P2 &gt; Pcf)</t>
  </si>
  <si>
    <t>Divn/Dept:</t>
  </si>
  <si>
    <t>Project:</t>
  </si>
  <si>
    <t>Job Nr/File No .</t>
  </si>
  <si>
    <t xml:space="preserve">Project:
</t>
  </si>
  <si>
    <t>Divn/Dept</t>
  </si>
  <si>
    <t>Job Nr/File No.</t>
  </si>
  <si>
    <t>API reccom. For RV w/o BD</t>
  </si>
  <si>
    <r>
      <t>Calculation formula for required orifice area(A</t>
    </r>
    <r>
      <rPr>
        <b/>
        <vertAlign val="subscript"/>
        <sz val="10"/>
        <rFont val="Arial"/>
        <family val="2"/>
      </rPr>
      <t>L</t>
    </r>
    <r>
      <rPr>
        <b/>
        <sz val="10"/>
        <rFont val="Arial"/>
        <family val="2"/>
      </rPr>
      <t>)</t>
    </r>
  </si>
  <si>
    <r>
      <t>Q *</t>
    </r>
    <r>
      <rPr>
        <sz val="11"/>
        <rFont val="Symbol"/>
        <family val="1"/>
        <charset val="2"/>
      </rPr>
      <t>Ö</t>
    </r>
    <r>
      <rPr>
        <sz val="11"/>
        <rFont val="Arial"/>
        <family val="2"/>
      </rPr>
      <t xml:space="preserve"> [G / ( P1- P2) ]</t>
    </r>
  </si>
  <si>
    <r>
      <t>CONSTANT FOR ORIFICE AREA EQN.(C</t>
    </r>
    <r>
      <rPr>
        <vertAlign val="subscript"/>
        <sz val="10"/>
        <rFont val="Arial"/>
        <family val="2"/>
      </rPr>
      <t>area</t>
    </r>
    <r>
      <rPr>
        <sz val="10"/>
        <rFont val="Arial"/>
        <family val="2"/>
      </rPr>
      <t>)=</t>
    </r>
  </si>
  <si>
    <r>
      <t>CONSTANT FOR REYNOLDS No. EQN(C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>)=</t>
    </r>
  </si>
  <si>
    <t>Calculation formula for Reynolds number(R)</t>
  </si>
  <si>
    <t xml:space="preserve">R = </t>
  </si>
  <si>
    <r>
      <t>A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= </t>
    </r>
  </si>
  <si>
    <r>
      <t>Q * C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 xml:space="preserve"> * G / Mu / </t>
    </r>
    <r>
      <rPr>
        <sz val="10"/>
        <rFont val="Symbol"/>
        <family val="1"/>
        <charset val="2"/>
      </rPr>
      <t>Ö</t>
    </r>
    <r>
      <rPr>
        <sz val="10"/>
        <rFont val="Arial"/>
        <family val="2"/>
      </rPr>
      <t xml:space="preserve"> A</t>
    </r>
    <r>
      <rPr>
        <vertAlign val="subscript"/>
        <sz val="10"/>
        <rFont val="Arial"/>
        <family val="2"/>
      </rPr>
      <t>sel</t>
    </r>
  </si>
  <si>
    <t xml:space="preserve">Calculation formula for Kv </t>
  </si>
  <si>
    <t xml:space="preserve">Kv = </t>
  </si>
  <si>
    <r>
      <t>[.9935+2.878/R</t>
    </r>
    <r>
      <rPr>
        <vertAlign val="superscript"/>
        <sz val="10"/>
        <rFont val="Arial"/>
        <family val="2"/>
      </rPr>
      <t>0.5</t>
    </r>
    <r>
      <rPr>
        <sz val="10"/>
        <rFont val="Arial"/>
        <family val="2"/>
      </rPr>
      <t xml:space="preserve"> + 342.75/R</t>
    </r>
    <r>
      <rPr>
        <vertAlign val="superscript"/>
        <sz val="10"/>
        <rFont val="Arial"/>
        <family val="2"/>
      </rPr>
      <t>1.5</t>
    </r>
    <r>
      <rPr>
        <sz val="10"/>
        <rFont val="Arial"/>
        <family val="2"/>
      </rPr>
      <t>]</t>
    </r>
    <r>
      <rPr>
        <vertAlign val="superscript"/>
        <sz val="10"/>
        <rFont val="Arial"/>
        <family val="2"/>
      </rPr>
      <t>-1.0</t>
    </r>
  </si>
  <si>
    <t>Job Nr/File No</t>
  </si>
  <si>
    <t xml:space="preserve"> Work in progress</t>
  </si>
  <si>
    <r>
      <t>Required orifice area(A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) =</t>
    </r>
  </si>
  <si>
    <r>
      <t>C</t>
    </r>
    <r>
      <rPr>
        <vertAlign val="subscript"/>
        <sz val="10"/>
        <rFont val="Arial"/>
        <family val="2"/>
      </rPr>
      <t>area</t>
    </r>
    <r>
      <rPr>
        <sz val="10"/>
        <rFont val="Arial"/>
        <family val="2"/>
      </rPr>
      <t xml:space="preserve"> * K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* K</t>
    </r>
    <r>
      <rPr>
        <vertAlign val="subscript"/>
        <sz val="10"/>
        <rFont val="Arial"/>
        <family val="2"/>
      </rPr>
      <t>w</t>
    </r>
    <r>
      <rPr>
        <sz val="10"/>
        <rFont val="Arial"/>
        <family val="2"/>
      </rPr>
      <t xml:space="preserve"> * K</t>
    </r>
    <r>
      <rPr>
        <vertAlign val="subscript"/>
        <sz val="10"/>
        <rFont val="Arial"/>
        <family val="2"/>
      </rPr>
      <t>v</t>
    </r>
  </si>
  <si>
    <t>BACK PRESSURE(P2)=</t>
  </si>
  <si>
    <t>Pback+Patm</t>
  </si>
  <si>
    <t>Pset * ( 1 + Overpressure) + Patm</t>
  </si>
  <si>
    <t>P1=</t>
  </si>
  <si>
    <t>P2=</t>
  </si>
  <si>
    <t>from table</t>
  </si>
  <si>
    <t>ref:API RP 520 Pt.1 para.3.8.1.2</t>
  </si>
  <si>
    <t>User choice of number</t>
  </si>
  <si>
    <t>Selection of no. off and API standard letter orifice</t>
  </si>
  <si>
    <t>Non-standard</t>
  </si>
  <si>
    <t>6.  The protected vessel will be built to ASME VIII codes ( based on vendor information)</t>
  </si>
  <si>
    <t>Check overpressure</t>
  </si>
  <si>
    <t>API 520 Gas critical flow</t>
  </si>
  <si>
    <t>API 520 Gas sub-critical flow</t>
  </si>
  <si>
    <t>API 520 Liquid API certified</t>
  </si>
  <si>
    <t>The sizing calculation method chosen was</t>
  </si>
  <si>
    <t>The only credible overpressure scenario was</t>
  </si>
  <si>
    <t>This required standard orifice(s) of</t>
  </si>
  <si>
    <t>mm²</t>
  </si>
  <si>
    <t>Type</t>
  </si>
  <si>
    <t>Std/Conv</t>
  </si>
  <si>
    <t>B/Bellows</t>
  </si>
  <si>
    <t>Pilot</t>
  </si>
  <si>
    <t>Kb</t>
  </si>
  <si>
    <t>Rational Function: y=(a+bx)/(1+cx+dx^2)</t>
  </si>
  <si>
    <t>Coefficient Data:</t>
  </si>
  <si>
    <t>a =</t>
  </si>
  <si>
    <t>b =</t>
  </si>
  <si>
    <t>c =</t>
  </si>
  <si>
    <t>d =</t>
  </si>
  <si>
    <t>rmax as function of k</t>
  </si>
  <si>
    <t>API 520 rec.  No rupture disk</t>
  </si>
  <si>
    <t>sqrt term</t>
  </si>
  <si>
    <t>Ö</t>
  </si>
  <si>
    <t>Standard Conventional or Pilot Operated</t>
  </si>
  <si>
    <t>Kb10</t>
  </si>
  <si>
    <t>for 10% OP</t>
  </si>
  <si>
    <r>
      <t>r</t>
    </r>
    <r>
      <rPr>
        <vertAlign val="subscript"/>
        <sz val="10"/>
        <rFont val="Arial"/>
        <family val="2"/>
      </rPr>
      <t>gauge</t>
    </r>
  </si>
  <si>
    <r>
      <t>r</t>
    </r>
    <r>
      <rPr>
        <vertAlign val="subscript"/>
        <sz val="10"/>
        <rFont val="Arial"/>
        <family val="2"/>
      </rPr>
      <t>abs</t>
    </r>
  </si>
  <si>
    <t>calc val</t>
  </si>
  <si>
    <t>min val</t>
  </si>
  <si>
    <t>Balanced Bellows (critical flow only)</t>
  </si>
  <si>
    <t>input according to type</t>
  </si>
  <si>
    <t>Kb16</t>
  </si>
  <si>
    <t>Kb21</t>
  </si>
  <si>
    <t>for all BP&lt;50%</t>
  </si>
  <si>
    <t>for 16% OP</t>
  </si>
  <si>
    <t>API RP520 Back pressure corrections</t>
  </si>
  <si>
    <r>
      <t xml:space="preserve">C = 519.7 * </t>
    </r>
    <r>
      <rPr>
        <sz val="11"/>
        <rFont val="Symbol"/>
        <family val="1"/>
        <charset val="2"/>
      </rPr>
      <t>Ö</t>
    </r>
    <r>
      <rPr>
        <sz val="11"/>
        <rFont val="Arial"/>
        <family val="2"/>
      </rPr>
      <t xml:space="preserve"> {(k)[2/ (k+1) ]</t>
    </r>
    <r>
      <rPr>
        <vertAlign val="superscript"/>
        <sz val="11"/>
        <rFont val="Arial"/>
        <family val="2"/>
      </rPr>
      <t>(k+1)/(k-1)</t>
    </r>
    <r>
      <rPr>
        <sz val="11"/>
        <rFont val="Arial"/>
        <family val="2"/>
      </rPr>
      <t>}</t>
    </r>
  </si>
  <si>
    <t>incl built-up back P</t>
  </si>
  <si>
    <t>Non std orifice</t>
  </si>
  <si>
    <t xml:space="preserve">Selected API Orifice = </t>
  </si>
</sst>
</file>

<file path=xl/styles.xml><?xml version="1.0" encoding="utf-8"?>
<styleSheet xmlns="http://schemas.openxmlformats.org/spreadsheetml/2006/main">
  <numFmts count="17">
    <numFmt numFmtId="165" formatCode="&quot;£&quot;#,##0;[Red]\-&quot;£&quot;#,##0"/>
    <numFmt numFmtId="167" formatCode="&quot;£&quot;#,##0.00;[Red]\-&quot;£&quot;#,##0.00"/>
    <numFmt numFmtId="172" formatCode="0.0_)"/>
    <numFmt numFmtId="173" formatCode="0.0"/>
    <numFmt numFmtId="174" formatCode="0.000_)"/>
    <numFmt numFmtId="175" formatCode="General_)"/>
    <numFmt numFmtId="176" formatCode=";;;"/>
    <numFmt numFmtId="177" formatCode="0.0000"/>
    <numFmt numFmtId="178" formatCode="0.000"/>
    <numFmt numFmtId="179" formatCode="0.0000000000"/>
    <numFmt numFmtId="180" formatCode="0.000000"/>
    <numFmt numFmtId="181" formatCode="#,##0.000;[Red]\-#,##0.000"/>
    <numFmt numFmtId="182" formatCode="\$#,##0\ ;\(\$#,##0\)"/>
    <numFmt numFmtId="183" formatCode="[&lt;100]##.###;[&gt;=100]####.#;General"/>
    <numFmt numFmtId="184" formatCode="0.00000000000000"/>
    <numFmt numFmtId="185" formatCode="0.000__\ "/>
    <numFmt numFmtId="186" formatCode="0.000_____ "/>
  </numFmts>
  <fonts count="49">
    <font>
      <sz val="10"/>
      <name val="Arial"/>
      <family val="2"/>
    </font>
    <font>
      <b/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0"/>
      <name val="Times New Roman"/>
      <family val="1"/>
    </font>
    <font>
      <sz val="8"/>
      <name val="Helv"/>
    </font>
    <font>
      <sz val="8"/>
      <name val="Arial"/>
      <family val="2"/>
    </font>
    <font>
      <u/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36"/>
      <name val="Mott MacDonald Logo"/>
      <charset val="2"/>
    </font>
    <font>
      <sz val="10"/>
      <name val="MS Sans Serif"/>
      <family val="2"/>
    </font>
    <font>
      <sz val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vertAlign val="subscript"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indexed="32"/>
      <name val="Arial"/>
      <family val="2"/>
    </font>
    <font>
      <sz val="10"/>
      <name val="Arial"/>
      <family val="2"/>
    </font>
    <font>
      <b/>
      <vertAlign val="superscript"/>
      <sz val="10"/>
      <name val="Arial"/>
      <family val="2"/>
    </font>
    <font>
      <sz val="10"/>
      <color indexed="9"/>
      <name val="Arial"/>
      <family val="2"/>
    </font>
    <font>
      <b/>
      <sz val="18"/>
      <name val="Arial"/>
      <family val="2"/>
    </font>
    <font>
      <sz val="12"/>
      <name val="Times New Roman"/>
      <family val="1"/>
    </font>
    <font>
      <b/>
      <u/>
      <sz val="14"/>
      <name val="Arial"/>
      <family val="2"/>
    </font>
    <font>
      <b/>
      <sz val="14"/>
      <name val="Arial"/>
      <family val="2"/>
    </font>
    <font>
      <sz val="20"/>
      <name val="Arial"/>
      <family val="2"/>
    </font>
    <font>
      <sz val="14"/>
      <name val="Arial"/>
      <family val="2"/>
    </font>
    <font>
      <b/>
      <sz val="14"/>
      <color indexed="10"/>
      <name val="Arial"/>
      <family val="2"/>
    </font>
    <font>
      <b/>
      <sz val="14"/>
      <color indexed="14"/>
      <name val="Arial"/>
      <family val="2"/>
    </font>
    <font>
      <sz val="14"/>
      <color indexed="10"/>
      <name val="Arial"/>
      <family val="2"/>
    </font>
    <font>
      <sz val="8"/>
      <color indexed="12"/>
      <name val="Times New Roman"/>
      <family val="1"/>
    </font>
    <font>
      <sz val="12"/>
      <color indexed="10"/>
      <name val="Arial"/>
      <family val="2"/>
    </font>
    <font>
      <sz val="8"/>
      <name val="Times New Roman"/>
      <family val="1"/>
    </font>
    <font>
      <vertAlign val="superscript"/>
      <sz val="14"/>
      <color indexed="10"/>
      <name val="Arial"/>
      <family val="2"/>
    </font>
    <font>
      <sz val="13"/>
      <color indexed="10"/>
      <name val="Arial"/>
      <family val="2"/>
    </font>
    <font>
      <sz val="10"/>
      <name val="Symbol"/>
      <family val="1"/>
      <charset val="2"/>
    </font>
    <font>
      <sz val="10"/>
      <color indexed="32"/>
      <name val="Arial"/>
      <family val="2"/>
    </font>
    <font>
      <sz val="11"/>
      <name val="Arial"/>
      <family val="2"/>
    </font>
    <font>
      <sz val="11"/>
      <name val="Symbol"/>
      <family val="1"/>
      <charset val="2"/>
    </font>
    <font>
      <vertAlign val="superscript"/>
      <sz val="11"/>
      <name val="Arial"/>
      <family val="2"/>
    </font>
    <font>
      <b/>
      <sz val="10"/>
      <color indexed="20"/>
      <name val="Arial"/>
      <family val="2"/>
    </font>
    <font>
      <sz val="10"/>
      <color indexed="10"/>
      <name val="Arial"/>
      <family val="2"/>
    </font>
    <font>
      <sz val="36"/>
      <name val="Arial"/>
      <family val="2"/>
    </font>
    <font>
      <b/>
      <sz val="10"/>
      <color indexed="48"/>
      <name val="Arial"/>
      <family val="2"/>
    </font>
    <font>
      <b/>
      <sz val="8"/>
      <color indexed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</fills>
  <borders count="7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DashDotDot">
        <color indexed="14"/>
      </right>
      <top/>
      <bottom/>
      <diagonal/>
    </border>
    <border>
      <left style="mediumDashDotDot">
        <color indexed="14"/>
      </left>
      <right/>
      <top style="mediumDashDotDot">
        <color indexed="14"/>
      </top>
      <bottom/>
      <diagonal/>
    </border>
    <border>
      <left/>
      <right/>
      <top style="mediumDashDotDot">
        <color indexed="14"/>
      </top>
      <bottom/>
      <diagonal/>
    </border>
    <border>
      <left/>
      <right style="mediumDashDotDot">
        <color indexed="14"/>
      </right>
      <top style="mediumDashDotDot">
        <color indexed="14"/>
      </top>
      <bottom/>
      <diagonal/>
    </border>
    <border>
      <left style="mediumDashDotDot">
        <color indexed="14"/>
      </left>
      <right/>
      <top/>
      <bottom/>
      <diagonal/>
    </border>
    <border>
      <left style="mediumDashDotDot">
        <color indexed="14"/>
      </left>
      <right/>
      <top/>
      <bottom style="mediumDashDotDot">
        <color indexed="14"/>
      </bottom>
      <diagonal/>
    </border>
    <border>
      <left/>
      <right/>
      <top/>
      <bottom style="mediumDashDotDot">
        <color indexed="14"/>
      </bottom>
      <diagonal/>
    </border>
    <border>
      <left/>
      <right style="mediumDashDotDot">
        <color indexed="14"/>
      </right>
      <top/>
      <bottom style="mediumDashDotDot">
        <color indexed="14"/>
      </bottom>
      <diagonal/>
    </border>
    <border>
      <left style="medium">
        <color indexed="20"/>
      </left>
      <right/>
      <top style="medium">
        <color indexed="20"/>
      </top>
      <bottom/>
      <diagonal/>
    </border>
    <border>
      <left/>
      <right/>
      <top style="medium">
        <color indexed="20"/>
      </top>
      <bottom/>
      <diagonal/>
    </border>
    <border>
      <left/>
      <right style="medium">
        <color indexed="20"/>
      </right>
      <top style="medium">
        <color indexed="20"/>
      </top>
      <bottom/>
      <diagonal/>
    </border>
    <border>
      <left style="medium">
        <color indexed="20"/>
      </left>
      <right/>
      <top/>
      <bottom/>
      <diagonal/>
    </border>
    <border>
      <left/>
      <right style="medium">
        <color indexed="20"/>
      </right>
      <top/>
      <bottom/>
      <diagonal/>
    </border>
    <border>
      <left style="medium">
        <color indexed="20"/>
      </left>
      <right/>
      <top/>
      <bottom style="medium">
        <color indexed="20"/>
      </bottom>
      <diagonal/>
    </border>
    <border>
      <left/>
      <right/>
      <top/>
      <bottom style="medium">
        <color indexed="20"/>
      </bottom>
      <diagonal/>
    </border>
    <border>
      <left/>
      <right style="medium">
        <color indexed="20"/>
      </right>
      <top/>
      <bottom style="medium">
        <color indexed="20"/>
      </bottom>
      <diagonal/>
    </border>
    <border>
      <left style="medium">
        <color indexed="20"/>
      </left>
      <right style="medium">
        <color indexed="20"/>
      </right>
      <top style="medium">
        <color indexed="20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Dot">
        <color indexed="20"/>
      </left>
      <right style="dotted">
        <color indexed="20"/>
      </right>
      <top style="mediumDashDotDot">
        <color indexed="20"/>
      </top>
      <bottom style="dotted">
        <color indexed="20"/>
      </bottom>
      <diagonal/>
    </border>
    <border>
      <left style="dotted">
        <color indexed="20"/>
      </left>
      <right style="dotted">
        <color indexed="20"/>
      </right>
      <top style="mediumDashDotDot">
        <color indexed="20"/>
      </top>
      <bottom style="dotted">
        <color indexed="20"/>
      </bottom>
      <diagonal/>
    </border>
    <border>
      <left style="mediumDashDotDot">
        <color indexed="20"/>
      </left>
      <right style="dotted">
        <color indexed="20"/>
      </right>
      <top style="dotted">
        <color indexed="20"/>
      </top>
      <bottom style="dotted">
        <color indexed="20"/>
      </bottom>
      <diagonal/>
    </border>
    <border>
      <left style="dotted">
        <color indexed="20"/>
      </left>
      <right style="dotted">
        <color indexed="20"/>
      </right>
      <top style="dotted">
        <color indexed="20"/>
      </top>
      <bottom style="dotted">
        <color indexed="20"/>
      </bottom>
      <diagonal/>
    </border>
    <border>
      <left style="dotted">
        <color indexed="20"/>
      </left>
      <right style="dotted">
        <color indexed="20"/>
      </right>
      <top style="dotted">
        <color indexed="20"/>
      </top>
      <bottom/>
      <diagonal/>
    </border>
    <border>
      <left style="dotted">
        <color indexed="20"/>
      </left>
      <right style="medium">
        <color indexed="20"/>
      </right>
      <top style="mediumDashDotDot">
        <color indexed="20"/>
      </top>
      <bottom style="dotted">
        <color indexed="20"/>
      </bottom>
      <diagonal/>
    </border>
    <border>
      <left style="dotted">
        <color indexed="20"/>
      </left>
      <right style="medium">
        <color indexed="20"/>
      </right>
      <top style="dotted">
        <color indexed="20"/>
      </top>
      <bottom style="dotted">
        <color indexed="20"/>
      </bottom>
      <diagonal/>
    </border>
    <border>
      <left style="mediumDashDotDot">
        <color indexed="20"/>
      </left>
      <right/>
      <top style="dotted">
        <color indexed="20"/>
      </top>
      <bottom style="mediumDashDotDot">
        <color indexed="20"/>
      </bottom>
      <diagonal/>
    </border>
    <border>
      <left/>
      <right style="medium">
        <color indexed="64"/>
      </right>
      <top style="dotted">
        <color indexed="20"/>
      </top>
      <bottom style="mediumDashDotDot">
        <color indexed="20"/>
      </bottom>
      <diagonal/>
    </border>
    <border>
      <left style="mediumDashDotDot">
        <color indexed="20"/>
      </left>
      <right/>
      <top style="dotted">
        <color indexed="20"/>
      </top>
      <bottom/>
      <diagonal/>
    </border>
    <border>
      <left/>
      <right style="medium">
        <color indexed="64"/>
      </right>
      <top style="dotted">
        <color indexed="20"/>
      </top>
      <bottom/>
      <diagonal/>
    </border>
    <border>
      <left style="dotted">
        <color indexed="20"/>
      </left>
      <right style="dotted">
        <color indexed="20"/>
      </right>
      <top style="dotted">
        <color indexed="20"/>
      </top>
      <bottom style="mediumDashDotDot">
        <color indexed="2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20"/>
      </left>
      <right style="medium">
        <color indexed="20"/>
      </right>
      <top/>
      <bottom/>
      <diagonal/>
    </border>
    <border>
      <left style="medium">
        <color indexed="20"/>
      </left>
      <right style="medium">
        <color indexed="20"/>
      </right>
      <top/>
      <bottom style="medium">
        <color indexed="20"/>
      </bottom>
      <diagonal/>
    </border>
    <border>
      <left style="thin">
        <color indexed="64"/>
      </left>
      <right style="dashDotDot">
        <color indexed="10"/>
      </right>
      <top style="thin">
        <color indexed="64"/>
      </top>
      <bottom style="dashDotDot">
        <color indexed="10"/>
      </bottom>
      <diagonal/>
    </border>
    <border>
      <left style="dashDotDot">
        <color indexed="10"/>
      </left>
      <right style="dashDotDot">
        <color indexed="10"/>
      </right>
      <top style="thin">
        <color indexed="64"/>
      </top>
      <bottom style="dashDotDot">
        <color indexed="10"/>
      </bottom>
      <diagonal/>
    </border>
    <border>
      <left style="thin">
        <color indexed="64"/>
      </left>
      <right style="dashDotDot">
        <color indexed="10"/>
      </right>
      <top style="dashDotDot">
        <color indexed="10"/>
      </top>
      <bottom style="dashDotDot">
        <color indexed="10"/>
      </bottom>
      <diagonal/>
    </border>
    <border>
      <left style="dashDotDot">
        <color indexed="10"/>
      </left>
      <right style="dashDotDot">
        <color indexed="10"/>
      </right>
      <top style="dashDotDot">
        <color indexed="10"/>
      </top>
      <bottom style="dashDotDot">
        <color indexed="10"/>
      </bottom>
      <diagonal/>
    </border>
    <border>
      <left style="thin">
        <color indexed="64"/>
      </left>
      <right style="dashDotDot">
        <color indexed="10"/>
      </right>
      <top style="dashDotDot">
        <color indexed="10"/>
      </top>
      <bottom style="thin">
        <color indexed="64"/>
      </bottom>
      <diagonal/>
    </border>
    <border>
      <left style="dashDotDot">
        <color indexed="10"/>
      </left>
      <right style="dashDotDot">
        <color indexed="10"/>
      </right>
      <top style="dashDotDot">
        <color indexed="10"/>
      </top>
      <bottom style="thin">
        <color indexed="64"/>
      </bottom>
      <diagonal/>
    </border>
    <border>
      <left style="dashDotDot">
        <color indexed="10"/>
      </left>
      <right style="medium">
        <color indexed="64"/>
      </right>
      <top style="dashDotDot">
        <color indexed="10"/>
      </top>
      <bottom style="dashDotDot">
        <color indexed="10"/>
      </bottom>
      <diagonal/>
    </border>
    <border>
      <left style="dashDotDot">
        <color indexed="10"/>
      </left>
      <right style="medium">
        <color indexed="64"/>
      </right>
      <top style="thin">
        <color indexed="64"/>
      </top>
      <bottom style="dashDotDot">
        <color indexed="10"/>
      </bottom>
      <diagonal/>
    </border>
    <border>
      <left style="dashDotDot">
        <color indexed="10"/>
      </left>
      <right style="medium">
        <color indexed="64"/>
      </right>
      <top style="dashDotDot">
        <color indexed="1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9">
    <xf numFmtId="172" fontId="0" fillId="0" borderId="0"/>
    <xf numFmtId="40" fontId="13" fillId="0" borderId="0" applyFont="0" applyFill="0" applyBorder="0" applyAlignment="0" applyProtection="0"/>
    <xf numFmtId="3" fontId="2" fillId="0" borderId="0" applyProtection="0"/>
    <xf numFmtId="182" fontId="2" fillId="0" borderId="0" applyProtection="0"/>
    <xf numFmtId="0" fontId="2" fillId="0" borderId="0" applyNumberFormat="0" applyFont="0" applyFill="0" applyBorder="0" applyAlignment="0" applyProtection="0"/>
    <xf numFmtId="167" fontId="2" fillId="0" borderId="0" applyFill="0" applyBorder="0" applyAlignment="0" applyProtection="0"/>
    <xf numFmtId="165" fontId="2" fillId="0" borderId="0" applyFill="0" applyBorder="0" applyAlignment="0" applyProtection="0"/>
    <xf numFmtId="0" fontId="25" fillId="0" borderId="0" applyProtection="0"/>
    <xf numFmtId="0" fontId="3" fillId="0" borderId="0" applyProtection="0"/>
    <xf numFmtId="0" fontId="26" fillId="0" borderId="0" applyProtection="0"/>
    <xf numFmtId="0" fontId="1" fillId="0" borderId="0" applyProtection="0"/>
    <xf numFmtId="0" fontId="27" fillId="0" borderId="0" applyProtection="0"/>
    <xf numFmtId="0" fontId="26" fillId="0" borderId="0" applyProtection="0"/>
    <xf numFmtId="0" fontId="26" fillId="0" borderId="0" applyProtection="0"/>
    <xf numFmtId="2" fontId="2" fillId="0" borderId="0" applyProtection="0"/>
    <xf numFmtId="0" fontId="2" fillId="0" borderId="0"/>
    <xf numFmtId="0" fontId="2" fillId="0" borderId="0"/>
    <xf numFmtId="0" fontId="3" fillId="0" borderId="0"/>
    <xf numFmtId="0" fontId="25" fillId="0" borderId="0" applyProtection="0"/>
    <xf numFmtId="0" fontId="3" fillId="0" borderId="0" applyProtection="0"/>
    <xf numFmtId="0" fontId="2" fillId="0" borderId="0"/>
    <xf numFmtId="0" fontId="5" fillId="0" borderId="0" applyProtection="0"/>
    <xf numFmtId="0" fontId="2" fillId="0" borderId="0"/>
    <xf numFmtId="0" fontId="2" fillId="0" borderId="0" applyFill="0" applyBorder="0"/>
    <xf numFmtId="0" fontId="2" fillId="0" borderId="0"/>
    <xf numFmtId="0" fontId="4" fillId="0" borderId="0"/>
    <xf numFmtId="0" fontId="13" fillId="0" borderId="0"/>
    <xf numFmtId="9" fontId="2" fillId="0" borderId="0" applyFont="0" applyFill="0" applyBorder="0" applyAlignment="0" applyProtection="0"/>
    <xf numFmtId="0" fontId="2" fillId="0" borderId="1" applyProtection="0"/>
  </cellStyleXfs>
  <cellXfs count="454">
    <xf numFmtId="172" fontId="0" fillId="0" borderId="0" xfId="0"/>
    <xf numFmtId="0" fontId="10" fillId="0" borderId="0" xfId="24" applyFont="1" applyBorder="1"/>
    <xf numFmtId="0" fontId="16" fillId="0" borderId="0" xfId="25" applyNumberFormat="1" applyFont="1" applyBorder="1" applyAlignment="1" applyProtection="1">
      <alignment horizontal="center"/>
    </xf>
    <xf numFmtId="0" fontId="10" fillId="0" borderId="0" xfId="24" applyFont="1"/>
    <xf numFmtId="0" fontId="10" fillId="0" borderId="2" xfId="24" applyFont="1" applyBorder="1"/>
    <xf numFmtId="0" fontId="17" fillId="0" borderId="0" xfId="24" applyFont="1"/>
    <xf numFmtId="0" fontId="11" fillId="0" borderId="3" xfId="24" applyFont="1" applyBorder="1"/>
    <xf numFmtId="0" fontId="14" fillId="0" borderId="0" xfId="24" applyFont="1"/>
    <xf numFmtId="0" fontId="17" fillId="0" borderId="4" xfId="26" applyFont="1" applyBorder="1"/>
    <xf numFmtId="0" fontId="11" fillId="0" borderId="3" xfId="24" applyFont="1" applyBorder="1" applyAlignment="1">
      <alignment horizontal="center"/>
    </xf>
    <xf numFmtId="0" fontId="16" fillId="0" borderId="3" xfId="21" applyFont="1" applyBorder="1" applyAlignment="1">
      <alignment horizontal="center"/>
    </xf>
    <xf numFmtId="0" fontId="14" fillId="0" borderId="5" xfId="26" applyFont="1" applyBorder="1" applyAlignment="1">
      <alignment horizontal="centerContinuous"/>
    </xf>
    <xf numFmtId="0" fontId="10" fillId="0" borderId="0" xfId="26" applyFont="1" applyBorder="1"/>
    <xf numFmtId="177" fontId="21" fillId="0" borderId="0" xfId="26" applyNumberFormat="1" applyFont="1" applyBorder="1"/>
    <xf numFmtId="0" fontId="22" fillId="0" borderId="0" xfId="26" applyFont="1" applyBorder="1" applyAlignment="1">
      <alignment horizontal="left"/>
    </xf>
    <xf numFmtId="0" fontId="22" fillId="0" borderId="0" xfId="24" applyFont="1"/>
    <xf numFmtId="0" fontId="2" fillId="0" borderId="6" xfId="22" applyFont="1" applyBorder="1" applyAlignment="1">
      <alignment vertical="top"/>
    </xf>
    <xf numFmtId="0" fontId="20" fillId="0" borderId="0" xfId="24" applyFont="1"/>
    <xf numFmtId="0" fontId="20" fillId="0" borderId="0" xfId="26" applyFont="1" applyBorder="1"/>
    <xf numFmtId="0" fontId="14" fillId="0" borderId="0" xfId="26" applyFont="1" applyBorder="1"/>
    <xf numFmtId="1" fontId="14" fillId="0" borderId="0" xfId="26" applyNumberFormat="1" applyFont="1" applyBorder="1" applyAlignment="1">
      <alignment horizontal="right"/>
    </xf>
    <xf numFmtId="0" fontId="14" fillId="0" borderId="7" xfId="24" applyFont="1" applyBorder="1"/>
    <xf numFmtId="0" fontId="14" fillId="0" borderId="4" xfId="24" applyFont="1" applyBorder="1"/>
    <xf numFmtId="0" fontId="14" fillId="0" borderId="8" xfId="24" applyFont="1" applyBorder="1"/>
    <xf numFmtId="0" fontId="14" fillId="0" borderId="0" xfId="24" applyFont="1" applyBorder="1"/>
    <xf numFmtId="0" fontId="14" fillId="0" borderId="0" xfId="24" applyFont="1" applyBorder="1" applyAlignment="1">
      <alignment horizontal="right"/>
    </xf>
    <xf numFmtId="0" fontId="14" fillId="0" borderId="0" xfId="24" applyFont="1" applyBorder="1" applyAlignment="1">
      <alignment horizontal="center"/>
    </xf>
    <xf numFmtId="0" fontId="11" fillId="0" borderId="0" xfId="24" applyFont="1" applyBorder="1" applyAlignment="1">
      <alignment horizontal="center"/>
    </xf>
    <xf numFmtId="0" fontId="7" fillId="0" borderId="0" xfId="26" applyFont="1" applyBorder="1" applyAlignment="1">
      <alignment horizontal="right"/>
    </xf>
    <xf numFmtId="172" fontId="10" fillId="0" borderId="9" xfId="0" applyFont="1" applyBorder="1" applyAlignment="1">
      <alignment horizontal="center" vertical="top" wrapText="1"/>
    </xf>
    <xf numFmtId="0" fontId="10" fillId="0" borderId="3" xfId="24" applyFont="1" applyBorder="1"/>
    <xf numFmtId="0" fontId="15" fillId="0" borderId="2" xfId="25" applyFont="1" applyBorder="1" applyAlignment="1" applyProtection="1"/>
    <xf numFmtId="0" fontId="16" fillId="0" borderId="3" xfId="25" applyNumberFormat="1" applyFont="1" applyBorder="1" applyAlignment="1" applyProtection="1">
      <alignment horizontal="center"/>
    </xf>
    <xf numFmtId="0" fontId="17" fillId="0" borderId="2" xfId="26" applyFont="1" applyBorder="1"/>
    <xf numFmtId="0" fontId="17" fillId="0" borderId="0" xfId="26" applyFont="1" applyBorder="1"/>
    <xf numFmtId="0" fontId="14" fillId="0" borderId="2" xfId="26" applyFont="1" applyBorder="1"/>
    <xf numFmtId="0" fontId="15" fillId="0" borderId="7" xfId="26" quotePrefix="1" applyFont="1" applyBorder="1" applyAlignment="1">
      <alignment horizontal="left"/>
    </xf>
    <xf numFmtId="0" fontId="14" fillId="0" borderId="2" xfId="26" quotePrefix="1" applyFont="1" applyBorder="1" applyAlignment="1">
      <alignment horizontal="left"/>
    </xf>
    <xf numFmtId="9" fontId="19" fillId="2" borderId="0" xfId="26" applyNumberFormat="1" applyFont="1" applyFill="1" applyBorder="1" applyAlignment="1">
      <alignment horizontal="right"/>
    </xf>
    <xf numFmtId="0" fontId="17" fillId="0" borderId="2" xfId="26" quotePrefix="1" applyFont="1" applyBorder="1" applyAlignment="1">
      <alignment horizontal="left"/>
    </xf>
    <xf numFmtId="0" fontId="20" fillId="0" borderId="0" xfId="26" applyFont="1" applyBorder="1" applyAlignment="1">
      <alignment horizontal="right"/>
    </xf>
    <xf numFmtId="0" fontId="11" fillId="0" borderId="0" xfId="26" applyFont="1" applyBorder="1" applyAlignment="1">
      <alignment horizontal="right"/>
    </xf>
    <xf numFmtId="178" fontId="19" fillId="2" borderId="0" xfId="26" applyNumberFormat="1" applyFont="1" applyFill="1" applyBorder="1" applyAlignment="1">
      <alignment horizontal="right"/>
    </xf>
    <xf numFmtId="0" fontId="11" fillId="0" borderId="0" xfId="26" applyFont="1" applyFill="1" applyBorder="1" applyAlignment="1">
      <alignment horizontal="right"/>
    </xf>
    <xf numFmtId="0" fontId="11" fillId="0" borderId="2" xfId="26" applyFont="1" applyBorder="1"/>
    <xf numFmtId="0" fontId="14" fillId="0" borderId="0" xfId="26" applyFont="1" applyBorder="1" applyAlignment="1">
      <alignment horizontal="right"/>
    </xf>
    <xf numFmtId="0" fontId="14" fillId="0" borderId="2" xfId="26" applyFont="1" applyBorder="1" applyAlignment="1">
      <alignment horizontal="right"/>
    </xf>
    <xf numFmtId="0" fontId="14" fillId="0" borderId="0" xfId="26" applyFont="1" applyBorder="1" applyAlignment="1">
      <alignment horizontal="centerContinuous"/>
    </xf>
    <xf numFmtId="0" fontId="10" fillId="0" borderId="2" xfId="26" quotePrefix="1" applyFont="1" applyBorder="1" applyAlignment="1">
      <alignment horizontal="left"/>
    </xf>
    <xf numFmtId="0" fontId="11" fillId="0" borderId="0" xfId="26" quotePrefix="1" applyFont="1" applyBorder="1" applyAlignment="1">
      <alignment horizontal="left"/>
    </xf>
    <xf numFmtId="0" fontId="10" fillId="0" borderId="2" xfId="26" applyFont="1" applyBorder="1"/>
    <xf numFmtId="0" fontId="22" fillId="0" borderId="0" xfId="26" applyFont="1" applyBorder="1"/>
    <xf numFmtId="0" fontId="22" fillId="0" borderId="2" xfId="26" applyFont="1" applyBorder="1"/>
    <xf numFmtId="175" fontId="22" fillId="0" borderId="0" xfId="26" applyNumberFormat="1" applyFont="1" applyBorder="1" applyAlignment="1" applyProtection="1">
      <alignment horizontal="right"/>
    </xf>
    <xf numFmtId="0" fontId="20" fillId="0" borderId="2" xfId="26" applyFont="1" applyBorder="1"/>
    <xf numFmtId="175" fontId="11" fillId="0" borderId="2" xfId="26" applyNumberFormat="1" applyFont="1" applyBorder="1" applyAlignment="1" applyProtection="1">
      <alignment horizontal="left"/>
    </xf>
    <xf numFmtId="0" fontId="11" fillId="0" borderId="0" xfId="26" applyFont="1" applyBorder="1"/>
    <xf numFmtId="175" fontId="11" fillId="0" borderId="0" xfId="26" applyNumberFormat="1" applyFont="1" applyBorder="1" applyAlignment="1" applyProtection="1">
      <alignment horizontal="center"/>
    </xf>
    <xf numFmtId="0" fontId="10" fillId="0" borderId="10" xfId="24" applyFont="1" applyBorder="1"/>
    <xf numFmtId="1" fontId="24" fillId="0" borderId="0" xfId="26" quotePrefix="1" applyNumberFormat="1" applyFont="1" applyBorder="1" applyAlignment="1">
      <alignment horizontal="right"/>
    </xf>
    <xf numFmtId="172" fontId="10" fillId="0" borderId="11" xfId="0" applyFont="1" applyBorder="1" applyAlignment="1">
      <alignment vertical="top" wrapText="1"/>
    </xf>
    <xf numFmtId="0" fontId="14" fillId="0" borderId="0" xfId="26" applyFont="1" applyBorder="1" applyAlignment="1">
      <alignment horizontal="left"/>
    </xf>
    <xf numFmtId="0" fontId="17" fillId="0" borderId="0" xfId="26" applyFont="1" applyBorder="1" applyAlignment="1">
      <alignment horizontal="left"/>
    </xf>
    <xf numFmtId="172" fontId="10" fillId="0" borderId="12" xfId="0" applyFont="1" applyBorder="1" applyAlignment="1">
      <alignment vertical="top" wrapText="1"/>
    </xf>
    <xf numFmtId="172" fontId="10" fillId="0" borderId="13" xfId="0" applyFont="1" applyBorder="1" applyAlignment="1">
      <alignment vertical="top"/>
    </xf>
    <xf numFmtId="172" fontId="10" fillId="0" borderId="11" xfId="0" applyFont="1" applyBorder="1" applyAlignment="1">
      <alignment vertical="top"/>
    </xf>
    <xf numFmtId="12" fontId="19" fillId="0" borderId="0" xfId="26" applyNumberFormat="1" applyFont="1" applyFill="1" applyBorder="1" applyAlignment="1">
      <alignment horizontal="center"/>
    </xf>
    <xf numFmtId="174" fontId="22" fillId="0" borderId="0" xfId="26" applyNumberFormat="1" applyFont="1" applyBorder="1" applyProtection="1"/>
    <xf numFmtId="175" fontId="11" fillId="0" borderId="0" xfId="26" quotePrefix="1" applyNumberFormat="1" applyFont="1" applyBorder="1" applyAlignment="1" applyProtection="1">
      <alignment horizontal="center"/>
    </xf>
    <xf numFmtId="0" fontId="30" fillId="0" borderId="14" xfId="23" applyFont="1" applyBorder="1" applyAlignment="1">
      <alignment horizontal="center"/>
    </xf>
    <xf numFmtId="0" fontId="28" fillId="0" borderId="15" xfId="23" applyFont="1" applyBorder="1" applyAlignment="1">
      <alignment horizontal="center" wrapText="1"/>
    </xf>
    <xf numFmtId="0" fontId="29" fillId="0" borderId="16" xfId="23" applyFont="1" applyBorder="1" applyAlignment="1">
      <alignment horizontal="centerContinuous" vertical="center"/>
    </xf>
    <xf numFmtId="0" fontId="29" fillId="0" borderId="17" xfId="23" applyFont="1" applyBorder="1" applyAlignment="1">
      <alignment horizontal="centerContinuous" vertical="center"/>
    </xf>
    <xf numFmtId="0" fontId="28" fillId="0" borderId="18" xfId="23" applyFont="1" applyBorder="1" applyAlignment="1">
      <alignment vertical="center"/>
    </xf>
    <xf numFmtId="0" fontId="30" fillId="0" borderId="18" xfId="23" applyFont="1" applyBorder="1" applyAlignment="1">
      <alignment vertical="center"/>
    </xf>
    <xf numFmtId="0" fontId="30" fillId="0" borderId="18" xfId="23" applyFont="1" applyBorder="1" applyAlignment="1">
      <alignment horizontal="centerContinuous" vertical="center"/>
    </xf>
    <xf numFmtId="0" fontId="30" fillId="0" borderId="14" xfId="23" applyFont="1" applyBorder="1" applyAlignment="1">
      <alignment horizontal="centerContinuous" vertical="center"/>
    </xf>
    <xf numFmtId="0" fontId="32" fillId="0" borderId="0" xfId="23" applyFont="1" applyAlignment="1">
      <alignment horizontal="left" vertical="center"/>
    </xf>
    <xf numFmtId="0" fontId="30" fillId="0" borderId="0" xfId="23" applyFont="1"/>
    <xf numFmtId="0" fontId="28" fillId="0" borderId="19" xfId="23" applyFont="1" applyBorder="1" applyAlignment="1">
      <alignment horizontal="center" wrapText="1"/>
    </xf>
    <xf numFmtId="0" fontId="29" fillId="0" borderId="5" xfId="23" applyFont="1" applyBorder="1" applyAlignment="1">
      <alignment horizontal="centerContinuous" vertical="center"/>
    </xf>
    <xf numFmtId="0" fontId="29" fillId="0" borderId="20" xfId="23" applyFont="1" applyBorder="1" applyAlignment="1">
      <alignment horizontal="centerContinuous" vertical="center"/>
    </xf>
    <xf numFmtId="0" fontId="28" fillId="0" borderId="5" xfId="23" applyFont="1" applyBorder="1" applyAlignment="1">
      <alignment vertical="center"/>
    </xf>
    <xf numFmtId="0" fontId="30" fillId="0" borderId="5" xfId="23" applyFont="1" applyBorder="1" applyAlignment="1">
      <alignment vertical="center"/>
    </xf>
    <xf numFmtId="0" fontId="31" fillId="0" borderId="0" xfId="23" applyFont="1"/>
    <xf numFmtId="0" fontId="28" fillId="0" borderId="7" xfId="23" applyFont="1" applyBorder="1"/>
    <xf numFmtId="0" fontId="30" fillId="0" borderId="4" xfId="23" applyFont="1" applyBorder="1"/>
    <xf numFmtId="0" fontId="28" fillId="0" borderId="4" xfId="23" applyFont="1" applyBorder="1"/>
    <xf numFmtId="0" fontId="31" fillId="3" borderId="4" xfId="23" applyFont="1" applyFill="1" applyBorder="1"/>
    <xf numFmtId="0" fontId="30" fillId="0" borderId="8" xfId="23" applyFont="1" applyBorder="1"/>
    <xf numFmtId="0" fontId="31" fillId="0" borderId="4" xfId="23" applyFont="1" applyFill="1" applyBorder="1"/>
    <xf numFmtId="0" fontId="30" fillId="0" borderId="2" xfId="23" applyFont="1" applyBorder="1"/>
    <xf numFmtId="0" fontId="30" fillId="0" borderId="0" xfId="23" applyFont="1" applyBorder="1"/>
    <xf numFmtId="0" fontId="30" fillId="0" borderId="3" xfId="23" applyFont="1" applyBorder="1"/>
    <xf numFmtId="0" fontId="28" fillId="0" borderId="2" xfId="23" applyFont="1" applyBorder="1"/>
    <xf numFmtId="0" fontId="33" fillId="0" borderId="2" xfId="23" applyFont="1" applyFill="1" applyBorder="1" applyAlignment="1">
      <alignment horizontal="center"/>
    </xf>
    <xf numFmtId="0" fontId="30" fillId="0" borderId="0" xfId="23" applyFont="1" applyFill="1" applyBorder="1"/>
    <xf numFmtId="0" fontId="30" fillId="0" borderId="3" xfId="23" applyFont="1" applyFill="1" applyBorder="1"/>
    <xf numFmtId="0" fontId="33" fillId="0" borderId="0" xfId="23" applyFont="1" applyFill="1" applyBorder="1"/>
    <xf numFmtId="0" fontId="33" fillId="0" borderId="3" xfId="23" applyFont="1" applyFill="1" applyBorder="1"/>
    <xf numFmtId="0" fontId="33" fillId="0" borderId="2" xfId="23" applyFont="1" applyBorder="1"/>
    <xf numFmtId="0" fontId="33" fillId="0" borderId="0" xfId="23" applyFont="1" applyBorder="1"/>
    <xf numFmtId="0" fontId="33" fillId="0" borderId="3" xfId="23" applyFont="1" applyBorder="1"/>
    <xf numFmtId="0" fontId="30" fillId="0" borderId="2" xfId="23" applyFont="1" applyFill="1" applyBorder="1"/>
    <xf numFmtId="0" fontId="30" fillId="0" borderId="7" xfId="23" applyFont="1" applyBorder="1"/>
    <xf numFmtId="0" fontId="34" fillId="0" borderId="8" xfId="23" applyFont="1" applyBorder="1" applyAlignment="1">
      <alignment horizontal="right"/>
    </xf>
    <xf numFmtId="0" fontId="30" fillId="0" borderId="21" xfId="23" applyFont="1" applyBorder="1"/>
    <xf numFmtId="0" fontId="30" fillId="0" borderId="18" xfId="23" applyFont="1" applyBorder="1" applyAlignment="1">
      <alignment horizontal="center"/>
    </xf>
    <xf numFmtId="0" fontId="30" fillId="0" borderId="22" xfId="23" applyFont="1" applyBorder="1" applyAlignment="1">
      <alignment vertical="center"/>
    </xf>
    <xf numFmtId="0" fontId="30" fillId="0" borderId="0" xfId="23" applyFont="1" applyAlignment="1">
      <alignment vertical="center" textRotation="90"/>
    </xf>
    <xf numFmtId="0" fontId="30" fillId="0" borderId="0" xfId="23" applyFont="1" applyAlignment="1">
      <alignment vertical="center"/>
    </xf>
    <xf numFmtId="0" fontId="30" fillId="0" borderId="23" xfId="23" applyFont="1" applyBorder="1" applyAlignment="1">
      <alignment vertical="center"/>
    </xf>
    <xf numFmtId="0" fontId="36" fillId="0" borderId="0" xfId="23" applyFont="1" applyAlignment="1">
      <alignment horizontal="right"/>
    </xf>
    <xf numFmtId="0" fontId="30" fillId="0" borderId="0" xfId="23" applyFont="1" applyFill="1"/>
    <xf numFmtId="180" fontId="20" fillId="0" borderId="0" xfId="26" applyNumberFormat="1" applyFont="1" applyBorder="1" applyAlignment="1">
      <alignment horizontal="right"/>
    </xf>
    <xf numFmtId="175" fontId="22" fillId="0" borderId="0" xfId="26" applyNumberFormat="1" applyFont="1" applyBorder="1" applyAlignment="1" applyProtection="1">
      <alignment horizontal="center"/>
    </xf>
    <xf numFmtId="175" fontId="14" fillId="3" borderId="0" xfId="26" quotePrefix="1" applyNumberFormat="1" applyFont="1" applyFill="1" applyBorder="1" applyAlignment="1" applyProtection="1">
      <alignment horizontal="center"/>
    </xf>
    <xf numFmtId="175" fontId="14" fillId="3" borderId="0" xfId="26" applyNumberFormat="1" applyFont="1" applyFill="1" applyBorder="1" applyAlignment="1" applyProtection="1">
      <alignment horizontal="center"/>
    </xf>
    <xf numFmtId="0" fontId="14" fillId="3" borderId="0" xfId="24" applyFont="1" applyFill="1" applyBorder="1"/>
    <xf numFmtId="177" fontId="14" fillId="3" borderId="0" xfId="24" applyNumberFormat="1" applyFont="1" applyFill="1" applyBorder="1" applyAlignment="1">
      <alignment horizontal="left"/>
    </xf>
    <xf numFmtId="177" fontId="14" fillId="3" borderId="0" xfId="26" applyNumberFormat="1" applyFont="1" applyFill="1" applyBorder="1" applyAlignment="1" applyProtection="1">
      <alignment horizontal="left"/>
    </xf>
    <xf numFmtId="177" fontId="10" fillId="3" borderId="0" xfId="26" applyNumberFormat="1" applyFont="1" applyFill="1" applyBorder="1" applyAlignment="1" applyProtection="1">
      <alignment horizontal="left"/>
    </xf>
    <xf numFmtId="175" fontId="10" fillId="3" borderId="0" xfId="26" applyNumberFormat="1" applyFont="1" applyFill="1" applyBorder="1" applyAlignment="1" applyProtection="1">
      <alignment horizontal="center"/>
    </xf>
    <xf numFmtId="174" fontId="10" fillId="3" borderId="24" xfId="26" applyNumberFormat="1" applyFont="1" applyFill="1" applyBorder="1" applyAlignment="1" applyProtection="1">
      <alignment horizontal="center"/>
    </xf>
    <xf numFmtId="2" fontId="19" fillId="2" borderId="0" xfId="26" applyNumberFormat="1" applyFont="1" applyFill="1" applyBorder="1" applyAlignment="1">
      <alignment horizontal="right"/>
    </xf>
    <xf numFmtId="181" fontId="10" fillId="0" borderId="0" xfId="1" applyNumberFormat="1" applyFont="1" applyFill="1" applyBorder="1" applyAlignment="1">
      <alignment horizontal="right"/>
    </xf>
    <xf numFmtId="1" fontId="40" fillId="0" borderId="0" xfId="26" applyNumberFormat="1" applyFont="1" applyBorder="1" applyAlignment="1">
      <alignment horizontal="right"/>
    </xf>
    <xf numFmtId="178" fontId="19" fillId="0" borderId="0" xfId="26" applyNumberFormat="1" applyFont="1" applyFill="1" applyBorder="1" applyAlignment="1">
      <alignment horizontal="right"/>
    </xf>
    <xf numFmtId="0" fontId="41" fillId="0" borderId="0" xfId="26" applyFont="1" applyBorder="1"/>
    <xf numFmtId="0" fontId="11" fillId="0" borderId="2" xfId="26" applyFont="1" applyBorder="1" applyAlignment="1">
      <alignment horizontal="left"/>
    </xf>
    <xf numFmtId="0" fontId="17" fillId="0" borderId="2" xfId="26" applyFont="1" applyBorder="1" applyAlignment="1">
      <alignment horizontal="left"/>
    </xf>
    <xf numFmtId="2" fontId="20" fillId="0" borderId="0" xfId="26" applyNumberFormat="1" applyFont="1" applyFill="1" applyBorder="1"/>
    <xf numFmtId="0" fontId="20" fillId="0" borderId="0" xfId="26" applyFont="1" applyBorder="1" applyAlignment="1">
      <alignment horizontal="left"/>
    </xf>
    <xf numFmtId="0" fontId="19" fillId="0" borderId="0" xfId="26" quotePrefix="1" applyFont="1" applyFill="1" applyBorder="1" applyAlignment="1">
      <alignment horizontal="right"/>
    </xf>
    <xf numFmtId="0" fontId="20" fillId="0" borderId="2" xfId="26" quotePrefix="1" applyFont="1" applyBorder="1" applyAlignment="1">
      <alignment horizontal="left"/>
    </xf>
    <xf numFmtId="0" fontId="20" fillId="0" borderId="2" xfId="26" applyFont="1" applyBorder="1" applyAlignment="1"/>
    <xf numFmtId="173" fontId="40" fillId="0" borderId="0" xfId="26" applyNumberFormat="1" applyFont="1" applyBorder="1" applyAlignment="1">
      <alignment horizontal="right"/>
    </xf>
    <xf numFmtId="0" fontId="20" fillId="0" borderId="2" xfId="24" applyFont="1" applyBorder="1"/>
    <xf numFmtId="175" fontId="10" fillId="0" borderId="2" xfId="26" applyNumberFormat="1" applyFont="1" applyBorder="1" applyAlignment="1" applyProtection="1">
      <alignment horizontal="left"/>
    </xf>
    <xf numFmtId="0" fontId="10" fillId="0" borderId="0" xfId="26" applyNumberFormat="1" applyFont="1" applyBorder="1" applyAlignment="1">
      <alignment horizontal="left"/>
    </xf>
    <xf numFmtId="1" fontId="19" fillId="2" borderId="0" xfId="26" applyNumberFormat="1" applyFont="1" applyFill="1" applyBorder="1" applyAlignment="1">
      <alignment horizontal="right"/>
    </xf>
    <xf numFmtId="0" fontId="16" fillId="2" borderId="0" xfId="25" applyNumberFormat="1" applyFont="1" applyFill="1" applyBorder="1" applyAlignment="1" applyProtection="1">
      <alignment horizontal="center"/>
    </xf>
    <xf numFmtId="1" fontId="10" fillId="2" borderId="0" xfId="26" applyNumberFormat="1" applyFont="1" applyFill="1" applyBorder="1" applyAlignment="1">
      <alignment horizontal="left"/>
    </xf>
    <xf numFmtId="0" fontId="11" fillId="2" borderId="3" xfId="24" applyFont="1" applyFill="1" applyBorder="1" applyAlignment="1">
      <alignment horizontal="center"/>
    </xf>
    <xf numFmtId="0" fontId="16" fillId="2" borderId="3" xfId="21" applyFont="1" applyFill="1" applyBorder="1" applyAlignment="1">
      <alignment horizontal="center"/>
    </xf>
    <xf numFmtId="0" fontId="10" fillId="2" borderId="0" xfId="26" applyFont="1" applyFill="1" applyBorder="1" applyAlignment="1">
      <alignment horizontal="left"/>
    </xf>
    <xf numFmtId="0" fontId="11" fillId="2" borderId="0" xfId="26" applyFont="1" applyFill="1" applyBorder="1" applyAlignment="1">
      <alignment horizontal="right"/>
    </xf>
    <xf numFmtId="0" fontId="10" fillId="2" borderId="0" xfId="26" applyFont="1" applyFill="1" applyBorder="1"/>
    <xf numFmtId="0" fontId="10" fillId="0" borderId="0" xfId="26" applyFont="1" applyBorder="1" applyAlignment="1">
      <alignment horizontal="center"/>
    </xf>
    <xf numFmtId="0" fontId="10" fillId="0" borderId="0" xfId="26" applyFont="1" applyBorder="1" applyAlignment="1">
      <alignment horizontal="left"/>
    </xf>
    <xf numFmtId="0" fontId="10" fillId="0" borderId="2" xfId="26" applyFont="1" applyBorder="1" applyAlignment="1">
      <alignment horizontal="left"/>
    </xf>
    <xf numFmtId="0" fontId="10" fillId="0" borderId="0" xfId="26" applyFont="1" applyBorder="1" applyAlignment="1">
      <alignment horizontal="right"/>
    </xf>
    <xf numFmtId="0" fontId="10" fillId="0" borderId="0" xfId="26" applyFont="1" applyBorder="1" applyAlignment="1">
      <alignment horizontal="centerContinuous"/>
    </xf>
    <xf numFmtId="175" fontId="10" fillId="0" borderId="0" xfId="26" applyNumberFormat="1" applyFont="1" applyBorder="1" applyAlignment="1" applyProtection="1">
      <alignment horizontal="right"/>
    </xf>
    <xf numFmtId="175" fontId="10" fillId="0" borderId="0" xfId="26" applyNumberFormat="1" applyFont="1" applyBorder="1" applyAlignment="1" applyProtection="1">
      <alignment horizontal="center"/>
    </xf>
    <xf numFmtId="2" fontId="10" fillId="0" borderId="0" xfId="26" applyNumberFormat="1" applyFont="1" applyFill="1" applyBorder="1"/>
    <xf numFmtId="0" fontId="10" fillId="0" borderId="2" xfId="26" applyFont="1" applyBorder="1" applyAlignment="1"/>
    <xf numFmtId="1" fontId="10" fillId="0" borderId="0" xfId="26" applyNumberFormat="1" applyFont="1" applyBorder="1" applyAlignment="1">
      <alignment horizontal="right"/>
    </xf>
    <xf numFmtId="180" fontId="10" fillId="0" borderId="0" xfId="26" applyNumberFormat="1" applyFont="1" applyBorder="1" applyAlignment="1">
      <alignment horizontal="right"/>
    </xf>
    <xf numFmtId="0" fontId="10" fillId="0" borderId="7" xfId="24" applyFont="1" applyBorder="1"/>
    <xf numFmtId="0" fontId="10" fillId="0" borderId="4" xfId="24" quotePrefix="1" applyFont="1" applyBorder="1"/>
    <xf numFmtId="0" fontId="10" fillId="0" borderId="4" xfId="24" applyFont="1" applyBorder="1"/>
    <xf numFmtId="0" fontId="10" fillId="0" borderId="8" xfId="24" applyFont="1" applyBorder="1"/>
    <xf numFmtId="0" fontId="10" fillId="0" borderId="0" xfId="24" applyFont="1" applyBorder="1" applyAlignment="1">
      <alignment horizontal="right"/>
    </xf>
    <xf numFmtId="0" fontId="10" fillId="0" borderId="0" xfId="24" applyFont="1" applyBorder="1" applyAlignment="1">
      <alignment horizontal="center"/>
    </xf>
    <xf numFmtId="1" fontId="19" fillId="0" borderId="0" xfId="26" applyNumberFormat="1" applyFont="1" applyFill="1" applyBorder="1" applyAlignment="1">
      <alignment horizontal="right"/>
    </xf>
    <xf numFmtId="178" fontId="11" fillId="0" borderId="0" xfId="26" applyNumberFormat="1" applyFont="1" applyFill="1" applyBorder="1" applyAlignment="1">
      <alignment horizontal="right"/>
    </xf>
    <xf numFmtId="177" fontId="11" fillId="0" borderId="0" xfId="26" applyNumberFormat="1" applyFont="1" applyFill="1" applyBorder="1" applyAlignment="1">
      <alignment horizontal="right"/>
    </xf>
    <xf numFmtId="177" fontId="7" fillId="0" borderId="0" xfId="26" applyNumberFormat="1" applyFont="1" applyBorder="1" applyAlignment="1">
      <alignment horizontal="right"/>
    </xf>
    <xf numFmtId="177" fontId="10" fillId="0" borderId="0" xfId="26" applyNumberFormat="1" applyFont="1" applyBorder="1" applyAlignment="1">
      <alignment horizontal="right"/>
    </xf>
    <xf numFmtId="177" fontId="10" fillId="0" borderId="0" xfId="26" applyNumberFormat="1" applyFont="1" applyFill="1" applyBorder="1" applyAlignment="1">
      <alignment horizontal="right"/>
    </xf>
    <xf numFmtId="177" fontId="10" fillId="0" borderId="0" xfId="26" quotePrefix="1" applyNumberFormat="1" applyFont="1" applyFill="1" applyBorder="1" applyAlignment="1">
      <alignment horizontal="right"/>
    </xf>
    <xf numFmtId="177" fontId="10" fillId="0" borderId="0" xfId="1" applyNumberFormat="1" applyFont="1" applyFill="1" applyBorder="1" applyAlignment="1">
      <alignment horizontal="right"/>
    </xf>
    <xf numFmtId="0" fontId="10" fillId="0" borderId="0" xfId="26" quotePrefix="1" applyFont="1" applyBorder="1"/>
    <xf numFmtId="0" fontId="10" fillId="0" borderId="2" xfId="26" applyFont="1" applyBorder="1" applyAlignment="1">
      <alignment horizontal="left" indent="3"/>
    </xf>
    <xf numFmtId="0" fontId="10" fillId="0" borderId="2" xfId="26" applyFont="1" applyBorder="1" applyAlignment="1">
      <alignment horizontal="left" vertical="center" indent="3"/>
    </xf>
    <xf numFmtId="181" fontId="44" fillId="0" borderId="0" xfId="1" applyNumberFormat="1" applyFont="1" applyFill="1" applyBorder="1" applyAlignment="1">
      <alignment horizontal="right"/>
    </xf>
    <xf numFmtId="177" fontId="44" fillId="0" borderId="0" xfId="26" applyNumberFormat="1" applyFont="1" applyFill="1" applyBorder="1" applyAlignment="1">
      <alignment horizontal="right"/>
    </xf>
    <xf numFmtId="0" fontId="24" fillId="0" borderId="0" xfId="26" quotePrefix="1" applyNumberFormat="1" applyFont="1" applyBorder="1" applyAlignment="1">
      <alignment horizontal="right"/>
    </xf>
    <xf numFmtId="0" fontId="44" fillId="0" borderId="2" xfId="26" applyFont="1" applyFill="1" applyBorder="1" applyAlignment="1">
      <alignment horizontal="left" vertical="center"/>
    </xf>
    <xf numFmtId="0" fontId="10" fillId="0" borderId="0" xfId="24" applyNumberFormat="1" applyFont="1"/>
    <xf numFmtId="175" fontId="11" fillId="0" borderId="0" xfId="26" quotePrefix="1" applyNumberFormat="1" applyFont="1" applyBorder="1" applyAlignment="1" applyProtection="1">
      <alignment horizontal="right"/>
    </xf>
    <xf numFmtId="173" fontId="20" fillId="0" borderId="0" xfId="26" applyNumberFormat="1" applyFont="1" applyBorder="1" applyAlignment="1">
      <alignment horizontal="right"/>
    </xf>
    <xf numFmtId="177" fontId="11" fillId="0" borderId="0" xfId="26" applyNumberFormat="1" applyFont="1" applyBorder="1" applyAlignment="1">
      <alignment horizontal="right"/>
    </xf>
    <xf numFmtId="178" fontId="11" fillId="0" borderId="0" xfId="26" applyNumberFormat="1" applyFont="1" applyBorder="1"/>
    <xf numFmtId="0" fontId="10" fillId="0" borderId="3" xfId="21" applyFont="1" applyBorder="1" applyAlignment="1">
      <alignment wrapText="1"/>
    </xf>
    <xf numFmtId="0" fontId="11" fillId="0" borderId="2" xfId="24" applyFont="1" applyBorder="1"/>
    <xf numFmtId="0" fontId="10" fillId="0" borderId="0" xfId="26" applyFont="1" applyFill="1" applyBorder="1"/>
    <xf numFmtId="1" fontId="10" fillId="0" borderId="0" xfId="24" applyNumberFormat="1" applyFont="1"/>
    <xf numFmtId="178" fontId="10" fillId="0" borderId="0" xfId="24" applyNumberFormat="1" applyFont="1"/>
    <xf numFmtId="0" fontId="10" fillId="0" borderId="4" xfId="26" applyFont="1" applyBorder="1"/>
    <xf numFmtId="1" fontId="10" fillId="0" borderId="0" xfId="26" applyNumberFormat="1" applyFont="1" applyBorder="1"/>
    <xf numFmtId="173" fontId="10" fillId="0" borderId="0" xfId="26" applyNumberFormat="1" applyFont="1" applyBorder="1" applyAlignment="1" applyProtection="1">
      <alignment horizontal="right"/>
    </xf>
    <xf numFmtId="175" fontId="10" fillId="0" borderId="0" xfId="26" applyNumberFormat="1" applyFont="1" applyBorder="1" applyAlignment="1" applyProtection="1">
      <alignment horizontal="left"/>
    </xf>
    <xf numFmtId="178" fontId="10" fillId="0" borderId="0" xfId="26" applyNumberFormat="1" applyFont="1" applyFill="1" applyBorder="1" applyAlignment="1">
      <alignment horizontal="right"/>
    </xf>
    <xf numFmtId="173" fontId="10" fillId="0" borderId="0" xfId="26" applyNumberFormat="1" applyFont="1" applyBorder="1" applyAlignment="1">
      <alignment horizontal="right"/>
    </xf>
    <xf numFmtId="0" fontId="10" fillId="3" borderId="25" xfId="24" applyFont="1" applyFill="1" applyBorder="1"/>
    <xf numFmtId="0" fontId="10" fillId="3" borderId="26" xfId="24" applyFont="1" applyFill="1" applyBorder="1"/>
    <xf numFmtId="0" fontId="10" fillId="3" borderId="27" xfId="24" applyFont="1" applyFill="1" applyBorder="1"/>
    <xf numFmtId="0" fontId="10" fillId="3" borderId="28" xfId="24" applyFont="1" applyFill="1" applyBorder="1"/>
    <xf numFmtId="0" fontId="10" fillId="3" borderId="0" xfId="24" applyFont="1" applyFill="1" applyBorder="1"/>
    <xf numFmtId="177" fontId="10" fillId="3" borderId="0" xfId="24" applyNumberFormat="1" applyFont="1" applyFill="1" applyBorder="1" applyAlignment="1">
      <alignment horizontal="left"/>
    </xf>
    <xf numFmtId="175" fontId="10" fillId="3" borderId="0" xfId="26" quotePrefix="1" applyNumberFormat="1" applyFont="1" applyFill="1" applyBorder="1" applyAlignment="1" applyProtection="1">
      <alignment horizontal="center"/>
    </xf>
    <xf numFmtId="0" fontId="10" fillId="3" borderId="29" xfId="24" applyFont="1" applyFill="1" applyBorder="1"/>
    <xf numFmtId="0" fontId="10" fillId="3" borderId="30" xfId="24" applyFont="1" applyFill="1" applyBorder="1"/>
    <xf numFmtId="177" fontId="10" fillId="3" borderId="30" xfId="26" applyNumberFormat="1" applyFont="1" applyFill="1" applyBorder="1" applyAlignment="1" applyProtection="1">
      <alignment horizontal="left"/>
    </xf>
    <xf numFmtId="0" fontId="10" fillId="3" borderId="31" xfId="24" applyFont="1" applyFill="1" applyBorder="1"/>
    <xf numFmtId="2" fontId="10" fillId="0" borderId="0" xfId="26" quotePrefix="1" applyNumberFormat="1" applyFont="1" applyFill="1" applyBorder="1" applyAlignment="1">
      <alignment horizontal="right"/>
    </xf>
    <xf numFmtId="0" fontId="10" fillId="4" borderId="32" xfId="24" applyFont="1" applyFill="1" applyBorder="1"/>
    <xf numFmtId="0" fontId="10" fillId="4" borderId="33" xfId="24" applyFont="1" applyFill="1" applyBorder="1"/>
    <xf numFmtId="0" fontId="10" fillId="4" borderId="34" xfId="24" applyFont="1" applyFill="1" applyBorder="1"/>
    <xf numFmtId="0" fontId="45" fillId="0" borderId="0" xfId="26" applyFont="1" applyBorder="1"/>
    <xf numFmtId="0" fontId="17" fillId="4" borderId="35" xfId="24" applyFont="1" applyFill="1" applyBorder="1"/>
    <xf numFmtId="0" fontId="17" fillId="4" borderId="0" xfId="24" applyFont="1" applyFill="1" applyBorder="1"/>
    <xf numFmtId="0" fontId="17" fillId="4" borderId="36" xfId="24" applyFont="1" applyFill="1" applyBorder="1"/>
    <xf numFmtId="0" fontId="14" fillId="4" borderId="35" xfId="24" applyFont="1" applyFill="1" applyBorder="1"/>
    <xf numFmtId="0" fontId="14" fillId="4" borderId="0" xfId="24" applyFont="1" applyFill="1" applyBorder="1"/>
    <xf numFmtId="0" fontId="14" fillId="4" borderId="36" xfId="24" applyFont="1" applyFill="1" applyBorder="1"/>
    <xf numFmtId="0" fontId="14" fillId="5" borderId="32" xfId="24" applyFont="1" applyFill="1" applyBorder="1"/>
    <xf numFmtId="0" fontId="14" fillId="5" borderId="33" xfId="24" applyFont="1" applyFill="1" applyBorder="1"/>
    <xf numFmtId="0" fontId="14" fillId="5" borderId="34" xfId="24" applyFont="1" applyFill="1" applyBorder="1"/>
    <xf numFmtId="0" fontId="14" fillId="5" borderId="35" xfId="24" applyFont="1" applyFill="1" applyBorder="1"/>
    <xf numFmtId="0" fontId="14" fillId="5" borderId="0" xfId="24" applyFont="1" applyFill="1" applyBorder="1"/>
    <xf numFmtId="0" fontId="14" fillId="5" borderId="36" xfId="24" applyFont="1" applyFill="1" applyBorder="1"/>
    <xf numFmtId="0" fontId="17" fillId="5" borderId="35" xfId="24" applyFont="1" applyFill="1" applyBorder="1"/>
    <xf numFmtId="0" fontId="17" fillId="5" borderId="0" xfId="24" applyFont="1" applyFill="1" applyBorder="1"/>
    <xf numFmtId="177" fontId="14" fillId="5" borderId="36" xfId="24" applyNumberFormat="1" applyFont="1" applyFill="1" applyBorder="1"/>
    <xf numFmtId="0" fontId="14" fillId="5" borderId="37" xfId="24" applyFont="1" applyFill="1" applyBorder="1"/>
    <xf numFmtId="0" fontId="14" fillId="5" borderId="38" xfId="24" applyFont="1" applyFill="1" applyBorder="1"/>
    <xf numFmtId="0" fontId="14" fillId="5" borderId="39" xfId="24" applyFont="1" applyFill="1" applyBorder="1"/>
    <xf numFmtId="0" fontId="6" fillId="6" borderId="40" xfId="24" applyFont="1" applyFill="1" applyBorder="1"/>
    <xf numFmtId="0" fontId="14" fillId="3" borderId="32" xfId="24" applyFont="1" applyFill="1" applyBorder="1"/>
    <xf numFmtId="0" fontId="14" fillId="3" borderId="33" xfId="24" applyFont="1" applyFill="1" applyBorder="1"/>
    <xf numFmtId="0" fontId="14" fillId="3" borderId="34" xfId="24" applyFont="1" applyFill="1" applyBorder="1"/>
    <xf numFmtId="0" fontId="14" fillId="3" borderId="35" xfId="24" applyFont="1" applyFill="1" applyBorder="1"/>
    <xf numFmtId="174" fontId="10" fillId="3" borderId="36" xfId="26" applyNumberFormat="1" applyFont="1" applyFill="1" applyBorder="1" applyAlignment="1" applyProtection="1">
      <alignment horizontal="center"/>
    </xf>
    <xf numFmtId="174" fontId="14" fillId="3" borderId="36" xfId="26" applyNumberFormat="1" applyFont="1" applyFill="1" applyBorder="1" applyAlignment="1" applyProtection="1">
      <alignment horizontal="center"/>
    </xf>
    <xf numFmtId="0" fontId="14" fillId="3" borderId="37" xfId="24" applyFont="1" applyFill="1" applyBorder="1"/>
    <xf numFmtId="0" fontId="14" fillId="3" borderId="38" xfId="24" applyFont="1" applyFill="1" applyBorder="1"/>
    <xf numFmtId="177" fontId="14" fillId="3" borderId="38" xfId="26" applyNumberFormat="1" applyFont="1" applyFill="1" applyBorder="1" applyAlignment="1" applyProtection="1">
      <alignment horizontal="left"/>
    </xf>
    <xf numFmtId="0" fontId="14" fillId="3" borderId="39" xfId="24" applyFont="1" applyFill="1" applyBorder="1"/>
    <xf numFmtId="0" fontId="10" fillId="0" borderId="41" xfId="24" applyFont="1" applyBorder="1"/>
    <xf numFmtId="0" fontId="16" fillId="0" borderId="38" xfId="25" applyNumberFormat="1" applyFont="1" applyFill="1" applyBorder="1" applyAlignment="1" applyProtection="1">
      <alignment horizontal="center"/>
    </xf>
    <xf numFmtId="0" fontId="20" fillId="0" borderId="0" xfId="24" applyNumberFormat="1" applyFont="1"/>
    <xf numFmtId="178" fontId="22" fillId="0" borderId="0" xfId="26" applyNumberFormat="1" applyFont="1" applyBorder="1" applyAlignment="1">
      <alignment horizontal="right"/>
    </xf>
    <xf numFmtId="173" fontId="10" fillId="0" borderId="0" xfId="26" applyNumberFormat="1" applyFont="1" applyFill="1" applyBorder="1" applyAlignment="1">
      <alignment horizontal="right"/>
    </xf>
    <xf numFmtId="173" fontId="45" fillId="5" borderId="36" xfId="24" applyNumberFormat="1" applyFont="1" applyFill="1" applyBorder="1"/>
    <xf numFmtId="178" fontId="45" fillId="5" borderId="36" xfId="24" applyNumberFormat="1" applyFont="1" applyFill="1" applyBorder="1"/>
    <xf numFmtId="177" fontId="45" fillId="5" borderId="36" xfId="24" applyNumberFormat="1" applyFont="1" applyFill="1" applyBorder="1"/>
    <xf numFmtId="183" fontId="11" fillId="0" borderId="0" xfId="26" applyNumberFormat="1" applyFont="1" applyBorder="1"/>
    <xf numFmtId="0" fontId="10" fillId="2" borderId="0" xfId="24" applyFont="1" applyFill="1"/>
    <xf numFmtId="1" fontId="10" fillId="0" borderId="2" xfId="24" applyNumberFormat="1" applyFont="1" applyBorder="1"/>
    <xf numFmtId="177" fontId="17" fillId="0" borderId="0" xfId="26" applyNumberFormat="1" applyFont="1" applyBorder="1"/>
    <xf numFmtId="2" fontId="14" fillId="0" borderId="0" xfId="26" applyNumberFormat="1" applyFont="1" applyBorder="1" applyAlignment="1">
      <alignment horizontal="right"/>
    </xf>
    <xf numFmtId="179" fontId="14" fillId="0" borderId="0" xfId="24" applyNumberFormat="1" applyFont="1"/>
    <xf numFmtId="0" fontId="14" fillId="0" borderId="2" xfId="24" applyFont="1" applyBorder="1"/>
    <xf numFmtId="0" fontId="17" fillId="0" borderId="0" xfId="26" applyFont="1" applyBorder="1" applyAlignment="1">
      <alignment horizontal="right"/>
    </xf>
    <xf numFmtId="177" fontId="17" fillId="0" borderId="0" xfId="26" applyNumberFormat="1" applyFont="1" applyBorder="1" applyAlignment="1">
      <alignment horizontal="right"/>
    </xf>
    <xf numFmtId="2" fontId="10" fillId="0" borderId="0" xfId="26" applyNumberFormat="1" applyFont="1" applyBorder="1"/>
    <xf numFmtId="2" fontId="10" fillId="0" borderId="0" xfId="26" applyNumberFormat="1" applyFont="1" applyFill="1" applyBorder="1" applyAlignment="1">
      <alignment horizontal="right"/>
    </xf>
    <xf numFmtId="183" fontId="11" fillId="0" borderId="0" xfId="26" applyNumberFormat="1" applyFont="1" applyBorder="1" applyAlignment="1">
      <alignment horizontal="right"/>
    </xf>
    <xf numFmtId="0" fontId="14" fillId="0" borderId="4" xfId="24" quotePrefix="1" applyFont="1" applyBorder="1" applyAlignment="1">
      <alignment horizontal="left" indent="6"/>
    </xf>
    <xf numFmtId="0" fontId="14" fillId="0" borderId="4" xfId="24" applyFont="1" applyBorder="1" applyAlignment="1">
      <alignment horizontal="left" indent="2"/>
    </xf>
    <xf numFmtId="178" fontId="17" fillId="0" borderId="0" xfId="24" applyNumberFormat="1" applyFont="1"/>
    <xf numFmtId="173" fontId="11" fillId="0" borderId="0" xfId="26" applyNumberFormat="1" applyFont="1" applyFill="1" applyBorder="1" applyAlignment="1">
      <alignment horizontal="right"/>
    </xf>
    <xf numFmtId="172" fontId="10" fillId="0" borderId="42" xfId="0" applyFont="1" applyBorder="1" applyAlignment="1">
      <alignment horizontal="justify" vertical="top" wrapText="1"/>
    </xf>
    <xf numFmtId="172" fontId="10" fillId="0" borderId="9" xfId="0" applyFont="1" applyBorder="1" applyAlignment="1">
      <alignment horizontal="justify" vertical="top" wrapText="1"/>
    </xf>
    <xf numFmtId="184" fontId="10" fillId="0" borderId="0" xfId="26" applyNumberFormat="1" applyFont="1" applyBorder="1"/>
    <xf numFmtId="183" fontId="11" fillId="0" borderId="0" xfId="26" applyNumberFormat="1" applyFont="1" applyFill="1" applyBorder="1" applyAlignment="1">
      <alignment horizontal="right"/>
    </xf>
    <xf numFmtId="1" fontId="11" fillId="0" borderId="0" xfId="26" applyNumberFormat="1" applyFont="1" applyBorder="1" applyAlignment="1">
      <alignment horizontal="right"/>
    </xf>
    <xf numFmtId="175" fontId="11" fillId="3" borderId="43" xfId="26" applyNumberFormat="1" applyFont="1" applyFill="1" applyBorder="1" applyAlignment="1" applyProtection="1">
      <alignment horizontal="left" indent="6"/>
    </xf>
    <xf numFmtId="175" fontId="11" fillId="3" borderId="44" xfId="26" applyNumberFormat="1" applyFont="1" applyFill="1" applyBorder="1" applyAlignment="1" applyProtection="1">
      <alignment horizontal="left" indent="3"/>
    </xf>
    <xf numFmtId="175" fontId="11" fillId="3" borderId="44" xfId="26" applyNumberFormat="1" applyFont="1" applyFill="1" applyBorder="1" applyAlignment="1" applyProtection="1">
      <alignment horizontal="center"/>
    </xf>
    <xf numFmtId="175" fontId="11" fillId="3" borderId="44" xfId="26" applyNumberFormat="1" applyFont="1" applyFill="1" applyBorder="1" applyAlignment="1" applyProtection="1">
      <alignment horizontal="left" indent="2"/>
    </xf>
    <xf numFmtId="0" fontId="11" fillId="3" borderId="45" xfId="26" applyFont="1" applyFill="1" applyBorder="1" applyAlignment="1">
      <alignment horizontal="left" indent="6"/>
    </xf>
    <xf numFmtId="175" fontId="11" fillId="3" borderId="46" xfId="26" applyNumberFormat="1" applyFont="1" applyFill="1" applyBorder="1" applyAlignment="1" applyProtection="1">
      <alignment horizontal="left" indent="3"/>
    </xf>
    <xf numFmtId="0" fontId="11" fillId="3" borderId="46" xfId="24" applyFont="1" applyFill="1" applyBorder="1" applyAlignment="1">
      <alignment horizontal="center"/>
    </xf>
    <xf numFmtId="0" fontId="11" fillId="3" borderId="46" xfId="26" applyFont="1" applyFill="1" applyBorder="1" applyAlignment="1">
      <alignment horizontal="left" indent="2"/>
    </xf>
    <xf numFmtId="175" fontId="11" fillId="3" borderId="46" xfId="26" applyNumberFormat="1" applyFont="1" applyFill="1" applyBorder="1" applyAlignment="1" applyProtection="1">
      <alignment horizontal="left" indent="2"/>
    </xf>
    <xf numFmtId="175" fontId="11" fillId="3" borderId="45" xfId="26" applyNumberFormat="1" applyFont="1" applyFill="1" applyBorder="1" applyAlignment="1" applyProtection="1">
      <alignment horizontal="left" indent="6"/>
    </xf>
    <xf numFmtId="178" fontId="11" fillId="3" borderId="46" xfId="26" applyNumberFormat="1" applyFont="1" applyFill="1" applyBorder="1" applyAlignment="1" applyProtection="1">
      <alignment horizontal="center"/>
    </xf>
    <xf numFmtId="175" fontId="11" fillId="3" borderId="46" xfId="26" quotePrefix="1" applyNumberFormat="1" applyFont="1" applyFill="1" applyBorder="1" applyAlignment="1" applyProtection="1">
      <alignment horizontal="left" indent="2"/>
    </xf>
    <xf numFmtId="178" fontId="11" fillId="3" borderId="46" xfId="26" quotePrefix="1" applyNumberFormat="1" applyFont="1" applyFill="1" applyBorder="1" applyAlignment="1" applyProtection="1">
      <alignment horizontal="center"/>
    </xf>
    <xf numFmtId="178" fontId="11" fillId="3" borderId="47" xfId="26" applyNumberFormat="1" applyFont="1" applyFill="1" applyBorder="1" applyAlignment="1" applyProtection="1">
      <alignment horizontal="center"/>
    </xf>
    <xf numFmtId="0" fontId="11" fillId="3" borderId="47" xfId="24" applyFont="1" applyFill="1" applyBorder="1" applyAlignment="1">
      <alignment horizontal="center"/>
    </xf>
    <xf numFmtId="175" fontId="11" fillId="3" borderId="47" xfId="26" quotePrefix="1" applyNumberFormat="1" applyFont="1" applyFill="1" applyBorder="1" applyAlignment="1" applyProtection="1">
      <alignment horizontal="left" indent="2"/>
    </xf>
    <xf numFmtId="178" fontId="11" fillId="3" borderId="47" xfId="26" quotePrefix="1" applyNumberFormat="1" applyFont="1" applyFill="1" applyBorder="1" applyAlignment="1" applyProtection="1">
      <alignment horizontal="center"/>
    </xf>
    <xf numFmtId="175" fontId="11" fillId="3" borderId="48" xfId="26" applyNumberFormat="1" applyFont="1" applyFill="1" applyBorder="1" applyAlignment="1" applyProtection="1">
      <alignment horizontal="center"/>
    </xf>
    <xf numFmtId="0" fontId="11" fillId="3" borderId="49" xfId="24" applyFont="1" applyFill="1" applyBorder="1" applyAlignment="1">
      <alignment horizontal="center"/>
    </xf>
    <xf numFmtId="175" fontId="11" fillId="3" borderId="50" xfId="26" applyNumberFormat="1" applyFont="1" applyFill="1" applyBorder="1" applyAlignment="1" applyProtection="1">
      <alignment horizontal="left" indent="6"/>
    </xf>
    <xf numFmtId="0" fontId="11" fillId="3" borderId="51" xfId="24" applyFont="1" applyFill="1" applyBorder="1" applyAlignment="1">
      <alignment horizontal="center"/>
    </xf>
    <xf numFmtId="175" fontId="11" fillId="3" borderId="52" xfId="26" applyNumberFormat="1" applyFont="1" applyFill="1" applyBorder="1" applyAlignment="1" applyProtection="1">
      <alignment horizontal="left" indent="6"/>
    </xf>
    <xf numFmtId="0" fontId="11" fillId="3" borderId="53" xfId="24" applyFont="1" applyFill="1" applyBorder="1" applyAlignment="1">
      <alignment horizontal="center"/>
    </xf>
    <xf numFmtId="178" fontId="11" fillId="3" borderId="54" xfId="26" applyNumberFormat="1" applyFont="1" applyFill="1" applyBorder="1" applyAlignment="1" applyProtection="1">
      <alignment horizontal="center"/>
    </xf>
    <xf numFmtId="0" fontId="11" fillId="3" borderId="54" xfId="24" applyFont="1" applyFill="1" applyBorder="1" applyAlignment="1">
      <alignment horizontal="center"/>
    </xf>
    <xf numFmtId="175" fontId="11" fillId="3" borderId="54" xfId="26" quotePrefix="1" applyNumberFormat="1" applyFont="1" applyFill="1" applyBorder="1" applyAlignment="1" applyProtection="1">
      <alignment horizontal="left" indent="2"/>
    </xf>
    <xf numFmtId="178" fontId="11" fillId="3" borderId="54" xfId="26" quotePrefix="1" applyNumberFormat="1" applyFont="1" applyFill="1" applyBorder="1" applyAlignment="1" applyProtection="1">
      <alignment horizontal="center"/>
    </xf>
    <xf numFmtId="1" fontId="19" fillId="2" borderId="0" xfId="26" applyNumberFormat="1" applyFont="1" applyFill="1" applyBorder="1" applyAlignment="1" applyProtection="1">
      <alignment horizontal="right"/>
      <protection locked="0"/>
    </xf>
    <xf numFmtId="178" fontId="19" fillId="2" borderId="0" xfId="26" applyNumberFormat="1" applyFont="1" applyFill="1" applyBorder="1" applyAlignment="1" applyProtection="1">
      <alignment horizontal="right"/>
      <protection locked="0"/>
    </xf>
    <xf numFmtId="2" fontId="19" fillId="2" borderId="0" xfId="26" quotePrefix="1" applyNumberFormat="1" applyFont="1" applyFill="1" applyBorder="1" applyAlignment="1" applyProtection="1">
      <alignment horizontal="right"/>
      <protection locked="0"/>
    </xf>
    <xf numFmtId="1" fontId="10" fillId="2" borderId="0" xfId="26" applyNumberFormat="1" applyFont="1" applyFill="1" applyBorder="1" applyAlignment="1" applyProtection="1">
      <alignment horizontal="left"/>
      <protection locked="0"/>
    </xf>
    <xf numFmtId="0" fontId="11" fillId="2" borderId="3" xfId="24" applyFont="1" applyFill="1" applyBorder="1" applyAlignment="1" applyProtection="1">
      <alignment horizontal="center"/>
      <protection locked="0"/>
    </xf>
    <xf numFmtId="0" fontId="20" fillId="2" borderId="0" xfId="26" applyFont="1" applyFill="1" applyBorder="1" applyProtection="1">
      <protection locked="0"/>
    </xf>
    <xf numFmtId="0" fontId="16" fillId="2" borderId="3" xfId="21" applyFont="1" applyFill="1" applyBorder="1" applyAlignment="1" applyProtection="1">
      <alignment horizontal="center"/>
      <protection locked="0"/>
    </xf>
    <xf numFmtId="0" fontId="10" fillId="2" borderId="0" xfId="26" applyFont="1" applyFill="1" applyBorder="1" applyAlignment="1" applyProtection="1">
      <alignment horizontal="left"/>
      <protection locked="0"/>
    </xf>
    <xf numFmtId="0" fontId="11" fillId="2" borderId="0" xfId="26" applyFont="1" applyFill="1" applyBorder="1" applyAlignment="1" applyProtection="1">
      <alignment horizontal="right"/>
      <protection locked="0"/>
    </xf>
    <xf numFmtId="0" fontId="14" fillId="2" borderId="0" xfId="24" applyFont="1" applyFill="1" applyProtection="1">
      <protection locked="0"/>
    </xf>
    <xf numFmtId="0" fontId="14" fillId="2" borderId="3" xfId="24" applyFont="1" applyFill="1" applyBorder="1" applyProtection="1">
      <protection locked="0"/>
    </xf>
    <xf numFmtId="1" fontId="24" fillId="2" borderId="0" xfId="26" quotePrefix="1" applyNumberFormat="1" applyFont="1" applyFill="1" applyBorder="1" applyAlignment="1" applyProtection="1">
      <alignment horizontal="right"/>
      <protection locked="0"/>
    </xf>
    <xf numFmtId="0" fontId="24" fillId="2" borderId="0" xfId="26" quotePrefix="1" applyNumberFormat="1" applyFont="1" applyFill="1" applyBorder="1" applyAlignment="1" applyProtection="1">
      <alignment horizontal="right"/>
      <protection locked="0"/>
    </xf>
    <xf numFmtId="0" fontId="10" fillId="2" borderId="0" xfId="26" applyNumberFormat="1" applyFont="1" applyFill="1" applyBorder="1" applyAlignment="1" applyProtection="1">
      <alignment horizontal="left"/>
      <protection locked="0"/>
    </xf>
    <xf numFmtId="0" fontId="14" fillId="2" borderId="0" xfId="26" applyFont="1" applyFill="1" applyBorder="1" applyProtection="1">
      <protection locked="0"/>
    </xf>
    <xf numFmtId="0" fontId="10" fillId="2" borderId="3" xfId="24" applyFont="1" applyFill="1" applyBorder="1" applyAlignment="1" applyProtection="1">
      <alignment horizontal="left"/>
      <protection locked="0"/>
    </xf>
    <xf numFmtId="1" fontId="14" fillId="2" borderId="0" xfId="26" applyNumberFormat="1" applyFont="1" applyFill="1" applyBorder="1" applyProtection="1">
      <protection locked="0"/>
    </xf>
    <xf numFmtId="0" fontId="10" fillId="2" borderId="3" xfId="21" applyFont="1" applyFill="1" applyBorder="1" applyAlignment="1" applyProtection="1">
      <alignment wrapText="1"/>
      <protection locked="0"/>
    </xf>
    <xf numFmtId="0" fontId="22" fillId="2" borderId="0" xfId="26" applyFont="1" applyFill="1" applyBorder="1" applyProtection="1">
      <protection locked="0"/>
    </xf>
    <xf numFmtId="0" fontId="22" fillId="2" borderId="3" xfId="24" applyFont="1" applyFill="1" applyBorder="1" applyProtection="1">
      <protection locked="0"/>
    </xf>
    <xf numFmtId="173" fontId="22" fillId="2" borderId="0" xfId="26" applyNumberFormat="1" applyFont="1" applyFill="1" applyBorder="1" applyAlignment="1" applyProtection="1">
      <alignment horizontal="right"/>
      <protection locked="0"/>
    </xf>
    <xf numFmtId="175" fontId="22" fillId="2" borderId="0" xfId="26" applyNumberFormat="1" applyFont="1" applyFill="1" applyBorder="1" applyAlignment="1" applyProtection="1">
      <alignment horizontal="left"/>
      <protection locked="0"/>
    </xf>
    <xf numFmtId="0" fontId="20" fillId="2" borderId="3" xfId="24" applyFont="1" applyFill="1" applyBorder="1" applyProtection="1">
      <protection locked="0"/>
    </xf>
    <xf numFmtId="0" fontId="20" fillId="2" borderId="0" xfId="24" applyFont="1" applyFill="1" applyProtection="1">
      <protection locked="0"/>
    </xf>
    <xf numFmtId="0" fontId="16" fillId="2" borderId="0" xfId="25" applyNumberFormat="1" applyFont="1" applyFill="1" applyBorder="1" applyAlignment="1" applyProtection="1">
      <alignment horizontal="center"/>
      <protection locked="0"/>
    </xf>
    <xf numFmtId="0" fontId="17" fillId="2" borderId="0" xfId="26" applyFont="1" applyFill="1" applyBorder="1" applyProtection="1">
      <protection locked="0"/>
    </xf>
    <xf numFmtId="0" fontId="17" fillId="2" borderId="0" xfId="26" applyFont="1" applyFill="1" applyBorder="1" applyAlignment="1" applyProtection="1">
      <alignment horizontal="center"/>
      <protection locked="0"/>
    </xf>
    <xf numFmtId="172" fontId="10" fillId="0" borderId="12" xfId="0" applyFont="1" applyBorder="1" applyAlignment="1" applyProtection="1">
      <alignment horizontal="left" vertical="top" wrapText="1"/>
      <protection locked="0"/>
    </xf>
    <xf numFmtId="172" fontId="10" fillId="0" borderId="11" xfId="0" applyFont="1" applyBorder="1" applyAlignment="1" applyProtection="1">
      <alignment horizontal="left" vertical="top" wrapText="1"/>
      <protection locked="0"/>
    </xf>
    <xf numFmtId="1" fontId="10" fillId="2" borderId="0" xfId="24" applyNumberFormat="1" applyFont="1" applyFill="1" applyProtection="1">
      <protection locked="0"/>
    </xf>
    <xf numFmtId="0" fontId="11" fillId="2" borderId="3" xfId="24" applyFont="1" applyFill="1" applyBorder="1" applyProtection="1">
      <protection locked="0"/>
    </xf>
    <xf numFmtId="0" fontId="10" fillId="2" borderId="0" xfId="24" applyFont="1" applyFill="1" applyProtection="1">
      <protection locked="0"/>
    </xf>
    <xf numFmtId="0" fontId="10" fillId="2" borderId="0" xfId="26" applyFont="1" applyFill="1" applyBorder="1" applyAlignment="1" applyProtection="1">
      <alignment horizontal="left" indent="1"/>
      <protection locked="0"/>
    </xf>
    <xf numFmtId="177" fontId="10" fillId="2" borderId="0" xfId="26" applyNumberFormat="1" applyFont="1" applyFill="1" applyBorder="1" applyAlignment="1" applyProtection="1">
      <alignment horizontal="left" indent="1"/>
      <protection locked="0"/>
    </xf>
    <xf numFmtId="176" fontId="10" fillId="2" borderId="0" xfId="26" applyNumberFormat="1" applyFont="1" applyFill="1" applyBorder="1" applyAlignment="1" applyProtection="1">
      <alignment horizontal="left" indent="1"/>
      <protection locked="0"/>
    </xf>
    <xf numFmtId="1" fontId="10" fillId="2" borderId="0" xfId="26" applyNumberFormat="1" applyFont="1" applyFill="1" applyBorder="1" applyAlignment="1" applyProtection="1">
      <alignment horizontal="left" indent="1"/>
      <protection locked="0"/>
    </xf>
    <xf numFmtId="0" fontId="11" fillId="2" borderId="0" xfId="26" applyFont="1" applyFill="1" applyBorder="1" applyAlignment="1" applyProtection="1">
      <alignment horizontal="left" indent="1"/>
      <protection locked="0"/>
    </xf>
    <xf numFmtId="177" fontId="11" fillId="2" borderId="0" xfId="26" applyNumberFormat="1" applyFont="1" applyFill="1" applyBorder="1" applyAlignment="1" applyProtection="1">
      <alignment horizontal="right" indent="1"/>
      <protection locked="0"/>
    </xf>
    <xf numFmtId="0" fontId="10" fillId="2" borderId="3" xfId="24" applyFont="1" applyFill="1" applyBorder="1" applyAlignment="1" applyProtection="1">
      <alignment horizontal="center"/>
      <protection locked="0"/>
    </xf>
    <xf numFmtId="1" fontId="24" fillId="2" borderId="0" xfId="26" quotePrefix="1" applyNumberFormat="1" applyFont="1" applyFill="1" applyBorder="1" applyAlignment="1" applyProtection="1">
      <alignment horizontal="right" indent="1"/>
      <protection locked="0"/>
    </xf>
    <xf numFmtId="49" fontId="10" fillId="2" borderId="0" xfId="26" applyNumberFormat="1" applyFont="1" applyFill="1" applyBorder="1" applyAlignment="1" applyProtection="1">
      <alignment horizontal="right" indent="1"/>
      <protection locked="0"/>
    </xf>
    <xf numFmtId="1" fontId="11" fillId="2" borderId="0" xfId="26" applyNumberFormat="1" applyFont="1" applyFill="1" applyBorder="1" applyAlignment="1" applyProtection="1">
      <alignment horizontal="right" indent="1"/>
      <protection locked="0"/>
    </xf>
    <xf numFmtId="1" fontId="24" fillId="2" borderId="0" xfId="26" quotePrefix="1" applyNumberFormat="1" applyFont="1" applyFill="1" applyBorder="1" applyAlignment="1" applyProtection="1">
      <alignment horizontal="left" indent="1"/>
      <protection locked="0"/>
    </xf>
    <xf numFmtId="0" fontId="10" fillId="2" borderId="3" xfId="24" applyFont="1" applyFill="1" applyBorder="1" applyProtection="1">
      <protection locked="0"/>
    </xf>
    <xf numFmtId="0" fontId="10" fillId="2" borderId="0" xfId="24" applyFont="1" applyFill="1" applyBorder="1" applyAlignment="1" applyProtection="1">
      <alignment horizontal="left" indent="1"/>
      <protection locked="0"/>
    </xf>
    <xf numFmtId="0" fontId="6" fillId="2" borderId="3" xfId="21" applyFont="1" applyFill="1" applyBorder="1" applyAlignment="1" applyProtection="1">
      <alignment wrapText="1"/>
      <protection locked="0"/>
    </xf>
    <xf numFmtId="175" fontId="11" fillId="2" borderId="0" xfId="26" applyNumberFormat="1" applyFont="1" applyFill="1" applyBorder="1" applyAlignment="1" applyProtection="1">
      <alignment horizontal="left" indent="1"/>
      <protection locked="0"/>
    </xf>
    <xf numFmtId="175" fontId="11" fillId="2" borderId="0" xfId="26" quotePrefix="1" applyNumberFormat="1" applyFont="1" applyFill="1" applyBorder="1" applyAlignment="1" applyProtection="1">
      <alignment horizontal="left" indent="1"/>
      <protection locked="0"/>
    </xf>
    <xf numFmtId="0" fontId="10" fillId="2" borderId="4" xfId="24" applyFont="1" applyFill="1" applyBorder="1" applyAlignment="1" applyProtection="1">
      <alignment horizontal="left" indent="1"/>
      <protection locked="0"/>
    </xf>
    <xf numFmtId="0" fontId="10" fillId="2" borderId="8" xfId="24" applyFont="1" applyFill="1" applyBorder="1" applyProtection="1">
      <protection locked="0"/>
    </xf>
    <xf numFmtId="0" fontId="10" fillId="2" borderId="0" xfId="26" applyFont="1" applyFill="1" applyBorder="1" applyProtection="1">
      <protection locked="0"/>
    </xf>
    <xf numFmtId="0" fontId="33" fillId="3" borderId="2" xfId="23" applyFont="1" applyFill="1" applyBorder="1" applyAlignment="1" applyProtection="1">
      <alignment horizontal="left"/>
      <protection locked="0"/>
    </xf>
    <xf numFmtId="0" fontId="33" fillId="3" borderId="0" xfId="23" applyFont="1" applyFill="1" applyBorder="1" applyProtection="1">
      <protection locked="0"/>
    </xf>
    <xf numFmtId="0" fontId="33" fillId="3" borderId="3" xfId="23" applyFont="1" applyFill="1" applyBorder="1" applyProtection="1">
      <protection locked="0"/>
    </xf>
    <xf numFmtId="0" fontId="31" fillId="3" borderId="4" xfId="23" applyFont="1" applyFill="1" applyBorder="1" applyProtection="1">
      <protection locked="0"/>
    </xf>
    <xf numFmtId="0" fontId="31" fillId="3" borderId="4" xfId="23" applyFont="1" applyFill="1" applyBorder="1" applyAlignment="1" applyProtection="1">
      <alignment vertical="center"/>
      <protection locked="0"/>
    </xf>
    <xf numFmtId="0" fontId="31" fillId="0" borderId="4" xfId="23" applyFont="1" applyFill="1" applyBorder="1" applyAlignment="1" applyProtection="1">
      <alignment vertical="center"/>
      <protection locked="0"/>
    </xf>
    <xf numFmtId="0" fontId="30" fillId="0" borderId="4" xfId="23" applyFont="1" applyBorder="1" applyProtection="1">
      <protection locked="0"/>
    </xf>
    <xf numFmtId="0" fontId="30" fillId="0" borderId="55" xfId="23" applyFont="1" applyBorder="1" applyProtection="1">
      <protection locked="0"/>
    </xf>
    <xf numFmtId="0" fontId="31" fillId="3" borderId="5" xfId="23" applyFont="1" applyFill="1" applyBorder="1" applyAlignment="1" applyProtection="1">
      <alignment horizontal="right" vertical="center"/>
      <protection locked="0"/>
    </xf>
    <xf numFmtId="0" fontId="31" fillId="3" borderId="18" xfId="23" applyFont="1" applyFill="1" applyBorder="1" applyAlignment="1" applyProtection="1">
      <alignment horizontal="centerContinuous" vertical="center"/>
      <protection locked="0"/>
    </xf>
    <xf numFmtId="0" fontId="31" fillId="3" borderId="20" xfId="23" applyFont="1" applyFill="1" applyBorder="1" applyAlignment="1" applyProtection="1">
      <alignment horizontal="left" vertical="center"/>
      <protection locked="0"/>
    </xf>
    <xf numFmtId="0" fontId="33" fillId="3" borderId="0" xfId="20" applyFont="1" applyFill="1" applyProtection="1">
      <protection locked="0"/>
    </xf>
    <xf numFmtId="173" fontId="33" fillId="3" borderId="0" xfId="23" applyNumberFormat="1" applyFont="1" applyFill="1" applyBorder="1" applyProtection="1">
      <protection locked="0"/>
    </xf>
    <xf numFmtId="173" fontId="38" fillId="3" borderId="0" xfId="23" applyNumberFormat="1" applyFont="1" applyFill="1" applyBorder="1" applyProtection="1">
      <protection locked="0"/>
    </xf>
    <xf numFmtId="0" fontId="38" fillId="3" borderId="0" xfId="23" applyFont="1" applyFill="1" applyBorder="1" applyProtection="1">
      <protection locked="0"/>
    </xf>
    <xf numFmtId="2" fontId="33" fillId="3" borderId="0" xfId="23" applyNumberFormat="1" applyFont="1" applyFill="1" applyBorder="1" applyProtection="1">
      <protection locked="0"/>
    </xf>
    <xf numFmtId="9" fontId="33" fillId="3" borderId="0" xfId="27" applyFont="1" applyFill="1" applyBorder="1" applyProtection="1">
      <protection locked="0"/>
    </xf>
    <xf numFmtId="176" fontId="11" fillId="0" borderId="3" xfId="24" applyNumberFormat="1" applyFont="1" applyBorder="1"/>
    <xf numFmtId="0" fontId="10" fillId="0" borderId="56" xfId="26" applyFont="1" applyBorder="1"/>
    <xf numFmtId="177" fontId="11" fillId="0" borderId="0" xfId="26" quotePrefix="1" applyNumberFormat="1" applyFont="1" applyBorder="1" applyAlignment="1" applyProtection="1">
      <alignment horizontal="right"/>
    </xf>
    <xf numFmtId="0" fontId="19" fillId="2" borderId="0" xfId="26" applyFont="1" applyFill="1" applyBorder="1"/>
    <xf numFmtId="1" fontId="19" fillId="0" borderId="0" xfId="24" applyNumberFormat="1" applyFont="1" applyProtection="1">
      <protection locked="0"/>
    </xf>
    <xf numFmtId="2" fontId="19" fillId="0" borderId="0" xfId="24" applyNumberFormat="1" applyFont="1" applyProtection="1">
      <protection locked="0"/>
    </xf>
    <xf numFmtId="9" fontId="19" fillId="0" borderId="0" xfId="27" applyFont="1" applyProtection="1">
      <protection locked="0"/>
    </xf>
    <xf numFmtId="178" fontId="19" fillId="0" borderId="0" xfId="24" applyNumberFormat="1" applyFont="1" applyProtection="1">
      <protection locked="0"/>
    </xf>
    <xf numFmtId="177" fontId="19" fillId="0" borderId="0" xfId="26" applyNumberFormat="1" applyFont="1" applyBorder="1"/>
    <xf numFmtId="2" fontId="19" fillId="0" borderId="0" xfId="24" applyNumberFormat="1" applyFont="1"/>
    <xf numFmtId="0" fontId="2" fillId="0" borderId="2" xfId="22" applyFont="1" applyBorder="1" applyAlignment="1" applyProtection="1">
      <alignment horizontal="justify" vertical="top" wrapText="1"/>
      <protection locked="0"/>
    </xf>
    <xf numFmtId="0" fontId="2" fillId="0" borderId="57" xfId="22" applyFont="1" applyBorder="1" applyAlignment="1" applyProtection="1">
      <alignment horizontal="justify" vertical="top" wrapText="1"/>
      <protection locked="0"/>
    </xf>
    <xf numFmtId="0" fontId="2" fillId="0" borderId="58" xfId="22" applyFont="1" applyBorder="1" applyAlignment="1" applyProtection="1">
      <alignment horizontal="justify" vertical="top" wrapText="1"/>
      <protection locked="0"/>
    </xf>
    <xf numFmtId="0" fontId="2" fillId="0" borderId="20" xfId="22" applyFont="1" applyBorder="1" applyAlignment="1" applyProtection="1">
      <alignment horizontal="justify" vertical="top" wrapText="1"/>
      <protection locked="0"/>
    </xf>
    <xf numFmtId="172" fontId="10" fillId="0" borderId="42" xfId="0" applyFont="1" applyBorder="1" applyAlignment="1" applyProtection="1">
      <alignment horizontal="justify" vertical="top" wrapText="1"/>
      <protection locked="0"/>
    </xf>
    <xf numFmtId="172" fontId="10" fillId="0" borderId="9" xfId="0" applyFont="1" applyBorder="1" applyAlignment="1" applyProtection="1">
      <alignment horizontal="justify" vertical="top" wrapText="1"/>
      <protection locked="0"/>
    </xf>
    <xf numFmtId="9" fontId="19" fillId="2" borderId="0" xfId="27" applyFont="1" applyFill="1" applyBorder="1" applyAlignment="1" applyProtection="1">
      <alignment horizontal="right"/>
      <protection locked="0"/>
    </xf>
    <xf numFmtId="9" fontId="14" fillId="6" borderId="59" xfId="27" applyFont="1" applyFill="1" applyBorder="1"/>
    <xf numFmtId="9" fontId="14" fillId="6" borderId="60" xfId="27" applyFont="1" applyFill="1" applyBorder="1"/>
    <xf numFmtId="177" fontId="19" fillId="2" borderId="0" xfId="26" applyNumberFormat="1" applyFont="1" applyFill="1" applyBorder="1" applyAlignment="1" applyProtection="1">
      <alignment horizontal="right"/>
      <protection locked="0"/>
    </xf>
    <xf numFmtId="0" fontId="11" fillId="3" borderId="61" xfId="26" applyFont="1" applyFill="1" applyBorder="1" applyAlignment="1">
      <alignment horizontal="left" indent="3"/>
    </xf>
    <xf numFmtId="0" fontId="11" fillId="3" borderId="62" xfId="26" applyFont="1" applyFill="1" applyBorder="1" applyAlignment="1">
      <alignment horizontal="left" indent="3"/>
    </xf>
    <xf numFmtId="0" fontId="11" fillId="3" borderId="63" xfId="26" applyFont="1" applyFill="1" applyBorder="1" applyAlignment="1">
      <alignment horizontal="left" indent="3"/>
    </xf>
    <xf numFmtId="0" fontId="11" fillId="3" borderId="64" xfId="26" applyFont="1" applyFill="1" applyBorder="1" applyAlignment="1">
      <alignment horizontal="left" indent="3"/>
    </xf>
    <xf numFmtId="186" fontId="11" fillId="3" borderId="64" xfId="26" applyNumberFormat="1" applyFont="1" applyFill="1" applyBorder="1" applyAlignment="1">
      <alignment horizontal="center"/>
    </xf>
    <xf numFmtId="0" fontId="11" fillId="3" borderId="65" xfId="26" applyFont="1" applyFill="1" applyBorder="1" applyAlignment="1">
      <alignment horizontal="left" indent="3"/>
    </xf>
    <xf numFmtId="186" fontId="11" fillId="3" borderId="66" xfId="26" applyNumberFormat="1" applyFont="1" applyFill="1" applyBorder="1" applyAlignment="1">
      <alignment horizontal="center"/>
    </xf>
    <xf numFmtId="0" fontId="11" fillId="3" borderId="66" xfId="26" applyFont="1" applyFill="1" applyBorder="1" applyAlignment="1">
      <alignment horizontal="left" indent="3"/>
    </xf>
    <xf numFmtId="0" fontId="11" fillId="3" borderId="67" xfId="24" applyFont="1" applyFill="1" applyBorder="1" applyAlignment="1">
      <alignment horizontal="left" indent="2"/>
    </xf>
    <xf numFmtId="185" fontId="11" fillId="3" borderId="64" xfId="26" applyNumberFormat="1" applyFont="1" applyFill="1" applyBorder="1" applyAlignment="1">
      <alignment horizontal="right"/>
    </xf>
    <xf numFmtId="185" fontId="11" fillId="3" borderId="66" xfId="26" applyNumberFormat="1" applyFont="1" applyFill="1" applyBorder="1" applyAlignment="1">
      <alignment horizontal="right"/>
    </xf>
    <xf numFmtId="0" fontId="11" fillId="3" borderId="68" xfId="24" applyFont="1" applyFill="1" applyBorder="1" applyAlignment="1">
      <alignment horizontal="left" indent="2"/>
    </xf>
    <xf numFmtId="0" fontId="11" fillId="3" borderId="69" xfId="24" applyFont="1" applyFill="1" applyBorder="1" applyAlignment="1">
      <alignment horizontal="left" indent="2"/>
    </xf>
    <xf numFmtId="12" fontId="19" fillId="2" borderId="0" xfId="26" applyNumberFormat="1" applyFont="1" applyFill="1" applyBorder="1" applyAlignment="1">
      <alignment horizontal="right"/>
    </xf>
    <xf numFmtId="0" fontId="20" fillId="0" borderId="2" xfId="26" applyFont="1" applyBorder="1" applyAlignment="1">
      <alignment horizontal="left"/>
    </xf>
    <xf numFmtId="173" fontId="22" fillId="2" borderId="0" xfId="26" applyNumberFormat="1" applyFont="1" applyFill="1" applyBorder="1" applyAlignment="1" applyProtection="1">
      <alignment horizontal="left"/>
      <protection locked="0"/>
    </xf>
    <xf numFmtId="14" fontId="30" fillId="0" borderId="0" xfId="23" applyNumberFormat="1" applyFont="1"/>
    <xf numFmtId="12" fontId="14" fillId="0" borderId="0" xfId="26" applyNumberFormat="1" applyFont="1" applyBorder="1"/>
    <xf numFmtId="10" fontId="10" fillId="2" borderId="0" xfId="27" applyNumberFormat="1" applyFont="1" applyFill="1" applyBorder="1" applyAlignment="1" applyProtection="1">
      <alignment horizontal="left"/>
      <protection locked="0"/>
    </xf>
    <xf numFmtId="177" fontId="14" fillId="0" borderId="0" xfId="24" applyNumberFormat="1" applyFont="1"/>
    <xf numFmtId="0" fontId="11" fillId="0" borderId="0" xfId="24" applyFont="1"/>
    <xf numFmtId="0" fontId="39" fillId="0" borderId="0" xfId="24" applyFont="1"/>
    <xf numFmtId="0" fontId="11" fillId="0" borderId="2" xfId="25" applyFont="1" applyBorder="1" applyAlignment="1" applyProtection="1"/>
    <xf numFmtId="0" fontId="11" fillId="0" borderId="0" xfId="25" applyNumberFormat="1" applyFont="1" applyBorder="1" applyAlignment="1" applyProtection="1">
      <alignment horizontal="left"/>
    </xf>
    <xf numFmtId="177" fontId="47" fillId="0" borderId="0" xfId="24" applyNumberFormat="1" applyFont="1"/>
    <xf numFmtId="177" fontId="17" fillId="0" borderId="0" xfId="24" applyNumberFormat="1" applyFont="1"/>
    <xf numFmtId="10" fontId="17" fillId="0" borderId="0" xfId="27" applyNumberFormat="1" applyFont="1"/>
    <xf numFmtId="10" fontId="14" fillId="0" borderId="0" xfId="27" applyNumberFormat="1" applyFont="1"/>
    <xf numFmtId="0" fontId="17" fillId="0" borderId="0" xfId="24" applyFont="1" applyAlignment="1">
      <alignment horizontal="center"/>
    </xf>
    <xf numFmtId="9" fontId="14" fillId="6" borderId="0" xfId="27" applyFont="1" applyFill="1"/>
    <xf numFmtId="0" fontId="14" fillId="6" borderId="0" xfId="24" applyFont="1" applyFill="1"/>
    <xf numFmtId="0" fontId="17" fillId="6" borderId="0" xfId="24" applyFont="1" applyFill="1"/>
    <xf numFmtId="177" fontId="14" fillId="6" borderId="0" xfId="24" applyNumberFormat="1" applyFont="1" applyFill="1"/>
    <xf numFmtId="11" fontId="14" fillId="6" borderId="0" xfId="24" applyNumberFormat="1" applyFont="1" applyFill="1"/>
    <xf numFmtId="181" fontId="14" fillId="6" borderId="0" xfId="24" applyNumberFormat="1" applyFont="1" applyFill="1"/>
    <xf numFmtId="0" fontId="48" fillId="0" borderId="0" xfId="25" applyNumberFormat="1" applyFont="1" applyBorder="1" applyAlignment="1" applyProtection="1">
      <alignment horizontal="left"/>
    </xf>
    <xf numFmtId="0" fontId="19" fillId="2" borderId="0" xfId="26" applyFont="1" applyFill="1" applyBorder="1" applyProtection="1">
      <protection locked="0"/>
    </xf>
    <xf numFmtId="178" fontId="19" fillId="2" borderId="0" xfId="26" applyNumberFormat="1" applyFont="1" applyFill="1" applyBorder="1"/>
    <xf numFmtId="0" fontId="35" fillId="3" borderId="71" xfId="23" applyFont="1" applyFill="1" applyBorder="1" applyAlignment="1" applyProtection="1">
      <alignment horizontal="center" vertical="center"/>
      <protection locked="0"/>
    </xf>
    <xf numFmtId="0" fontId="35" fillId="3" borderId="72" xfId="23" applyFont="1" applyFill="1" applyBorder="1" applyAlignment="1" applyProtection="1">
      <alignment horizontal="center" vertical="center"/>
      <protection locked="0"/>
    </xf>
    <xf numFmtId="0" fontId="31" fillId="3" borderId="13" xfId="23" applyFont="1" applyFill="1" applyBorder="1" applyAlignment="1">
      <alignment horizontal="center" vertical="center"/>
    </xf>
    <xf numFmtId="0" fontId="31" fillId="3" borderId="73" xfId="23" applyFont="1" applyFill="1" applyBorder="1" applyAlignment="1">
      <alignment horizontal="center" vertical="center"/>
    </xf>
    <xf numFmtId="15" fontId="35" fillId="3" borderId="12" xfId="23" applyNumberFormat="1" applyFont="1" applyFill="1" applyBorder="1" applyAlignment="1" applyProtection="1">
      <alignment horizontal="center" vertical="center"/>
      <protection locked="0"/>
    </xf>
    <xf numFmtId="15" fontId="35" fillId="3" borderId="73" xfId="23" applyNumberFormat="1" applyFont="1" applyFill="1" applyBorder="1" applyAlignment="1" applyProtection="1">
      <alignment horizontal="center" vertical="center"/>
      <protection locked="0"/>
    </xf>
    <xf numFmtId="15" fontId="35" fillId="3" borderId="74" xfId="23" applyNumberFormat="1" applyFont="1" applyFill="1" applyBorder="1" applyAlignment="1" applyProtection="1">
      <alignment horizontal="center" vertical="center"/>
      <protection locked="0"/>
    </xf>
    <xf numFmtId="15" fontId="35" fillId="3" borderId="75" xfId="23" applyNumberFormat="1" applyFont="1" applyFill="1" applyBorder="1" applyAlignment="1" applyProtection="1">
      <alignment horizontal="center" vertical="center"/>
      <protection locked="0"/>
    </xf>
    <xf numFmtId="0" fontId="35" fillId="3" borderId="70" xfId="23" applyFont="1" applyFill="1" applyBorder="1" applyAlignment="1" applyProtection="1">
      <alignment horizontal="center" vertical="center"/>
      <protection locked="0"/>
    </xf>
    <xf numFmtId="0" fontId="35" fillId="3" borderId="13" xfId="23" applyFont="1" applyFill="1" applyBorder="1" applyAlignment="1" applyProtection="1">
      <alignment horizontal="center" vertical="center"/>
      <protection locked="0"/>
    </xf>
    <xf numFmtId="0" fontId="35" fillId="3" borderId="73" xfId="23" applyFont="1" applyFill="1" applyBorder="1" applyAlignment="1" applyProtection="1">
      <alignment horizontal="center" vertical="center"/>
      <protection locked="0"/>
    </xf>
    <xf numFmtId="0" fontId="30" fillId="0" borderId="77" xfId="23" applyFont="1" applyBorder="1" applyAlignment="1">
      <alignment horizontal="center"/>
    </xf>
    <xf numFmtId="0" fontId="30" fillId="0" borderId="78" xfId="23" applyFont="1" applyBorder="1" applyAlignment="1">
      <alignment horizontal="center"/>
    </xf>
    <xf numFmtId="0" fontId="35" fillId="3" borderId="11" xfId="23" applyFont="1" applyFill="1" applyBorder="1" applyAlignment="1" applyProtection="1">
      <alignment horizontal="center" vertical="center"/>
      <protection locked="0"/>
    </xf>
    <xf numFmtId="0" fontId="28" fillId="0" borderId="13" xfId="23" applyFont="1" applyBorder="1" applyAlignment="1">
      <alignment horizontal="center" vertical="center"/>
    </xf>
    <xf numFmtId="0" fontId="30" fillId="0" borderId="76" xfId="23" applyFont="1" applyBorder="1" applyAlignment="1">
      <alignment horizontal="center"/>
    </xf>
    <xf numFmtId="0" fontId="30" fillId="0" borderId="14" xfId="23" applyFont="1" applyBorder="1" applyAlignment="1">
      <alignment horizontal="center"/>
    </xf>
    <xf numFmtId="172" fontId="46" fillId="0" borderId="18" xfId="0" applyFont="1" applyBorder="1" applyAlignment="1">
      <alignment vertical="top" wrapText="1"/>
    </xf>
    <xf numFmtId="172" fontId="46" fillId="0" borderId="14" xfId="0" applyFont="1" applyBorder="1" applyAlignment="1">
      <alignment vertical="top" wrapText="1"/>
    </xf>
    <xf numFmtId="0" fontId="2" fillId="0" borderId="77" xfId="22" applyFont="1" applyBorder="1" applyAlignment="1">
      <alignment vertical="top" wrapText="1"/>
    </xf>
    <xf numFmtId="0" fontId="2" fillId="0" borderId="78" xfId="22" applyFont="1" applyBorder="1" applyAlignment="1">
      <alignment vertical="top" wrapText="1"/>
    </xf>
    <xf numFmtId="172" fontId="12" fillId="0" borderId="18" xfId="0" applyFont="1" applyBorder="1" applyAlignment="1">
      <alignment vertical="top" wrapText="1"/>
    </xf>
    <xf numFmtId="172" fontId="12" fillId="0" borderId="14" xfId="0" applyFont="1" applyBorder="1" applyAlignment="1">
      <alignment vertical="top" wrapText="1"/>
    </xf>
    <xf numFmtId="172" fontId="10" fillId="0" borderId="42" xfId="0" applyFont="1" applyBorder="1" applyAlignment="1">
      <alignment horizontal="justify" vertical="top" wrapText="1"/>
    </xf>
    <xf numFmtId="172" fontId="10" fillId="0" borderId="9" xfId="0" applyFont="1" applyBorder="1" applyAlignment="1">
      <alignment horizontal="justify" vertical="top" wrapText="1"/>
    </xf>
    <xf numFmtId="0" fontId="2" fillId="0" borderId="2" xfId="22" applyFont="1" applyBorder="1" applyAlignment="1">
      <alignment vertical="center" wrapText="1"/>
    </xf>
    <xf numFmtId="0" fontId="2" fillId="0" borderId="57" xfId="22" applyFont="1" applyBorder="1" applyAlignment="1">
      <alignment vertical="center"/>
    </xf>
    <xf numFmtId="0" fontId="2" fillId="0" borderId="58" xfId="22" applyFont="1" applyBorder="1" applyAlignment="1">
      <alignment vertical="center"/>
    </xf>
    <xf numFmtId="0" fontId="2" fillId="0" borderId="20" xfId="22" applyFont="1" applyBorder="1" applyAlignment="1">
      <alignment vertical="center"/>
    </xf>
    <xf numFmtId="172" fontId="10" fillId="0" borderId="13" xfId="0" applyFont="1" applyBorder="1" applyAlignment="1">
      <alignment vertical="top" wrapText="1"/>
    </xf>
    <xf numFmtId="172" fontId="10" fillId="0" borderId="11" xfId="0" applyFont="1" applyBorder="1" applyAlignment="1">
      <alignment vertical="top" wrapText="1"/>
    </xf>
  </cellXfs>
  <cellStyles count="29">
    <cellStyle name="Comma_PSVSize_CCGP_REV1" xfId="1"/>
    <cellStyle name="Comma0" xfId="2"/>
    <cellStyle name="Currency0" xfId="3"/>
    <cellStyle name="Date" xfId="4"/>
    <cellStyle name="Dollars" xfId="5"/>
    <cellStyle name="Dollars(0)" xfId="6"/>
    <cellStyle name="F2" xfId="7"/>
    <cellStyle name="F3" xfId="8"/>
    <cellStyle name="F4" xfId="9"/>
    <cellStyle name="F5" xfId="10"/>
    <cellStyle name="F6" xfId="11"/>
    <cellStyle name="F7" xfId="12"/>
    <cellStyle name="F8" xfId="13"/>
    <cellStyle name="Fixed" xfId="14"/>
    <cellStyle name="header1" xfId="15"/>
    <cellStyle name="header2" xfId="16"/>
    <cellStyle name="header3" xfId="17"/>
    <cellStyle name="Heading 1" xfId="18" builtinId="16" customBuiltin="1"/>
    <cellStyle name="Heading 2" xfId="19" builtinId="17" customBuiltin="1"/>
    <cellStyle name="Normal" xfId="0" builtinId="0"/>
    <cellStyle name="Normal_26pv701check" xfId="20"/>
    <cellStyle name="Normal_blank_calcsheet" xfId="21"/>
    <cellStyle name="Normal_Calc 088 GSA Gas scrubber PRV sizing rev 1" xfId="22"/>
    <cellStyle name="Normal_Calc060F" xfId="23"/>
    <cellStyle name="Normal_mott_calc_sht" xfId="24"/>
    <cellStyle name="Normal_PSVEXCH" xfId="25"/>
    <cellStyle name="Normal_PSVSize_CCGP_REV1" xfId="26"/>
    <cellStyle name="Percent" xfId="27" builtinId="5"/>
    <cellStyle name="Total" xfId="28" builtinId="25" customBuiltin="1"/>
  </cellStyles>
  <dxfs count="2">
    <dxf>
      <font>
        <b/>
        <i/>
        <condense val="0"/>
        <extend val="0"/>
        <color indexed="10"/>
      </font>
    </dxf>
    <dxf>
      <font>
        <b/>
        <i/>
        <condense val="0"/>
        <extend val="0"/>
        <color indexed="1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43</xdr:row>
      <xdr:rowOff>95250</xdr:rowOff>
    </xdr:from>
    <xdr:to>
      <xdr:col>0</xdr:col>
      <xdr:colOff>561975</xdr:colOff>
      <xdr:row>65</xdr:row>
      <xdr:rowOff>0</xdr:rowOff>
    </xdr:to>
    <xdr:sp macro="" textlink="">
      <xdr:nvSpPr>
        <xdr:cNvPr id="6145" name="Text 1"/>
        <xdr:cNvSpPr txBox="1">
          <a:spLocks noChangeArrowheads="1"/>
        </xdr:cNvSpPr>
      </xdr:nvSpPr>
      <xdr:spPr bwMode="auto">
        <a:xfrm>
          <a:off x="276225" y="10420350"/>
          <a:ext cx="285750" cy="498157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vert="vert270" wrap="square" lIns="0" tIns="0" rIns="27432" bIns="22860" anchor="b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PD127/2   Original Yellow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46</xdr:row>
      <xdr:rowOff>19050</xdr:rowOff>
    </xdr:from>
    <xdr:to>
      <xdr:col>3</xdr:col>
      <xdr:colOff>1028700</xdr:colOff>
      <xdr:row>46</xdr:row>
      <xdr:rowOff>19050</xdr:rowOff>
    </xdr:to>
    <xdr:sp macro="" textlink="">
      <xdr:nvSpPr>
        <xdr:cNvPr id="3084" name="Line 12"/>
        <xdr:cNvSpPr>
          <a:spLocks noChangeShapeType="1"/>
        </xdr:cNvSpPr>
      </xdr:nvSpPr>
      <xdr:spPr bwMode="auto">
        <a:xfrm>
          <a:off x="3419475" y="8877300"/>
          <a:ext cx="685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36</xdr:row>
      <xdr:rowOff>38100</xdr:rowOff>
    </xdr:from>
    <xdr:to>
      <xdr:col>5</xdr:col>
      <xdr:colOff>209550</xdr:colOff>
      <xdr:row>36</xdr:row>
      <xdr:rowOff>38100</xdr:rowOff>
    </xdr:to>
    <xdr:sp macro="" textlink="">
      <xdr:nvSpPr>
        <xdr:cNvPr id="3085" name="Line 13"/>
        <xdr:cNvSpPr>
          <a:spLocks noChangeShapeType="1"/>
        </xdr:cNvSpPr>
      </xdr:nvSpPr>
      <xdr:spPr bwMode="auto">
        <a:xfrm>
          <a:off x="3800475" y="7038975"/>
          <a:ext cx="1314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47</xdr:row>
      <xdr:rowOff>19050</xdr:rowOff>
    </xdr:from>
    <xdr:to>
      <xdr:col>3</xdr:col>
      <xdr:colOff>1028700</xdr:colOff>
      <xdr:row>47</xdr:row>
      <xdr:rowOff>19050</xdr:rowOff>
    </xdr:to>
    <xdr:sp macro="" textlink="">
      <xdr:nvSpPr>
        <xdr:cNvPr id="7172" name="Line 4"/>
        <xdr:cNvSpPr>
          <a:spLocks noChangeShapeType="1"/>
        </xdr:cNvSpPr>
      </xdr:nvSpPr>
      <xdr:spPr bwMode="auto">
        <a:xfrm>
          <a:off x="3419475" y="8896350"/>
          <a:ext cx="685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30</xdr:row>
      <xdr:rowOff>9525</xdr:rowOff>
    </xdr:from>
    <xdr:to>
      <xdr:col>4</xdr:col>
      <xdr:colOff>76200</xdr:colOff>
      <xdr:row>30</xdr:row>
      <xdr:rowOff>9525</xdr:rowOff>
    </xdr:to>
    <xdr:sp macro="" textlink="">
      <xdr:nvSpPr>
        <xdr:cNvPr id="8200" name="Line 8"/>
        <xdr:cNvSpPr>
          <a:spLocks noChangeShapeType="1"/>
        </xdr:cNvSpPr>
      </xdr:nvSpPr>
      <xdr:spPr bwMode="auto">
        <a:xfrm flipV="1">
          <a:off x="3381375" y="5876925"/>
          <a:ext cx="904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2813\07%20%20Process\7.010%20%20AC-Calculations\CCGP\RVCAPACITY_SIZ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jg\RV_size\Cawthorne\RVCAPACITY_SIZ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IREload_31RV007"/>
      <sheetName val="SIZE_FIRE_31RV007"/>
      <sheetName val="SIZE_BO_31RV007"/>
      <sheetName val="FIRE_31RV008"/>
      <sheetName val="SIZE_FIRE_31RV008"/>
      <sheetName val="SIZE_BO_31RV008"/>
      <sheetName val="FIRE_31RV009"/>
      <sheetName val="31RV00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FIREload_31RV007"/>
      <sheetName val="SIZE_FIRE_31RV007"/>
      <sheetName val="SIZE_BO_31RV007"/>
      <sheetName val="FIRE_31RV008"/>
      <sheetName val="SIZE_FIRE_31RV008"/>
      <sheetName val="SIZE_BO_31RV008"/>
      <sheetName val="FIRE_31RV009"/>
      <sheetName val="31RV00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 fitToPage="1"/>
  </sheetPr>
  <dimension ref="A1:AC71"/>
  <sheetViews>
    <sheetView showGridLines="0" zoomScale="75" zoomScaleNormal="75" workbookViewId="0">
      <selection activeCell="B57" sqref="B57"/>
    </sheetView>
  </sheetViews>
  <sheetFormatPr defaultRowHeight="18"/>
  <cols>
    <col min="1" max="1" width="9.140625" style="78"/>
    <col min="2" max="2" width="23.85546875" style="78" customWidth="1"/>
    <col min="3" max="6" width="6.7109375" style="78" customWidth="1"/>
    <col min="7" max="7" width="7.7109375" style="78" customWidth="1"/>
    <col min="8" max="22" width="6.7109375" style="78" customWidth="1"/>
    <col min="23" max="23" width="20.140625" style="78" customWidth="1"/>
    <col min="24" max="24" width="9.140625" style="78"/>
    <col min="25" max="25" width="15.28515625" style="78" bestFit="1" customWidth="1"/>
    <col min="26" max="26" width="9.140625" style="78"/>
    <col min="27" max="27" width="12.7109375" style="78" bestFit="1" customWidth="1"/>
    <col min="28" max="16384" width="9.140625" style="78"/>
  </cols>
  <sheetData>
    <row r="1" spans="2:23" ht="33.75" customHeight="1">
      <c r="B1" s="70"/>
      <c r="C1" s="71" t="s">
        <v>44</v>
      </c>
      <c r="D1" s="71"/>
      <c r="E1" s="71"/>
      <c r="F1" s="71"/>
      <c r="G1" s="71"/>
      <c r="H1" s="71"/>
      <c r="I1" s="71"/>
      <c r="J1" s="71"/>
      <c r="K1" s="71"/>
      <c r="L1" s="72"/>
      <c r="M1" s="73" t="s">
        <v>45</v>
      </c>
      <c r="N1" s="73"/>
      <c r="O1" s="74"/>
      <c r="P1" s="357" t="s">
        <v>112</v>
      </c>
      <c r="Q1" s="75"/>
      <c r="R1" s="75"/>
      <c r="S1" s="75"/>
      <c r="T1" s="75"/>
      <c r="U1" s="75"/>
      <c r="V1" s="76"/>
      <c r="W1" s="77"/>
    </row>
    <row r="2" spans="2:23" ht="36.75" customHeight="1">
      <c r="B2" s="79"/>
      <c r="C2" s="80" t="s">
        <v>46</v>
      </c>
      <c r="D2" s="80"/>
      <c r="E2" s="80"/>
      <c r="F2" s="80"/>
      <c r="G2" s="80"/>
      <c r="H2" s="80"/>
      <c r="I2" s="80"/>
      <c r="J2" s="80"/>
      <c r="K2" s="80"/>
      <c r="L2" s="81"/>
      <c r="M2" s="82" t="s">
        <v>47</v>
      </c>
      <c r="N2" s="82"/>
      <c r="O2" s="83"/>
      <c r="P2" s="356">
        <v>1</v>
      </c>
      <c r="Q2" s="437" t="s">
        <v>48</v>
      </c>
      <c r="R2" s="437"/>
      <c r="S2" s="358"/>
      <c r="T2" s="82" t="s">
        <v>49</v>
      </c>
      <c r="U2" s="425">
        <v>1</v>
      </c>
      <c r="V2" s="426"/>
      <c r="W2" s="84"/>
    </row>
    <row r="3" spans="2:23" ht="20.25" customHeight="1" thickBot="1">
      <c r="B3" s="85" t="s">
        <v>50</v>
      </c>
      <c r="C3" s="352" t="s">
        <v>51</v>
      </c>
      <c r="D3" s="353"/>
      <c r="E3" s="354"/>
      <c r="F3" s="354"/>
      <c r="G3" s="354"/>
      <c r="H3" s="354"/>
      <c r="I3" s="354"/>
      <c r="J3" s="354"/>
      <c r="K3" s="354"/>
      <c r="L3" s="355"/>
      <c r="M3" s="87" t="s">
        <v>52</v>
      </c>
      <c r="N3" s="87"/>
      <c r="O3" s="86"/>
      <c r="P3" s="88"/>
      <c r="Q3" s="86"/>
      <c r="R3" s="86"/>
      <c r="S3" s="86"/>
      <c r="T3" s="86"/>
      <c r="U3" s="86"/>
      <c r="V3" s="89"/>
      <c r="W3" s="84"/>
    </row>
    <row r="4" spans="2:23" ht="20.25" customHeight="1" thickBot="1">
      <c r="B4" s="85" t="s">
        <v>53</v>
      </c>
      <c r="C4" s="86"/>
      <c r="D4" s="351" t="s">
        <v>111</v>
      </c>
      <c r="E4" s="90"/>
      <c r="F4" s="90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9"/>
      <c r="W4" s="84"/>
    </row>
    <row r="5" spans="2:23">
      <c r="B5" s="91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3"/>
      <c r="W5" s="84"/>
    </row>
    <row r="6" spans="2:23">
      <c r="B6" s="94" t="s">
        <v>54</v>
      </c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3"/>
    </row>
    <row r="7" spans="2:23">
      <c r="B7" s="95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7"/>
    </row>
    <row r="8" spans="2:23">
      <c r="B8" s="348" t="s">
        <v>65</v>
      </c>
      <c r="C8" s="349"/>
      <c r="D8" s="349"/>
      <c r="E8" s="349"/>
      <c r="F8" s="349"/>
      <c r="G8" s="349"/>
      <c r="H8" s="349"/>
      <c r="I8" s="349"/>
      <c r="J8" s="349" t="s">
        <v>66</v>
      </c>
      <c r="K8" s="349"/>
      <c r="L8" s="349"/>
      <c r="M8" s="349"/>
      <c r="N8" s="349"/>
      <c r="O8" s="349"/>
      <c r="P8" s="349"/>
      <c r="Q8" s="349"/>
      <c r="R8" s="349"/>
      <c r="S8" s="349"/>
      <c r="T8" s="349"/>
      <c r="U8" s="349"/>
      <c r="V8" s="350"/>
    </row>
    <row r="9" spans="2:23">
      <c r="B9" s="348"/>
      <c r="C9" s="349"/>
      <c r="D9" s="349"/>
      <c r="E9" s="349"/>
      <c r="F9" s="349"/>
      <c r="G9" s="349"/>
      <c r="H9" s="349"/>
      <c r="I9" s="349"/>
      <c r="J9" s="349"/>
      <c r="K9" s="349"/>
      <c r="L9" s="349"/>
      <c r="M9" s="349"/>
      <c r="N9" s="349"/>
      <c r="O9" s="349"/>
      <c r="P9" s="349"/>
      <c r="Q9" s="349"/>
      <c r="R9" s="349"/>
      <c r="S9" s="349"/>
      <c r="T9" s="349"/>
      <c r="U9" s="349"/>
      <c r="V9" s="350"/>
    </row>
    <row r="10" spans="2:23">
      <c r="B10" s="348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  <c r="N10" s="349"/>
      <c r="O10" s="349"/>
      <c r="P10" s="349"/>
      <c r="Q10" s="349"/>
      <c r="R10" s="349"/>
      <c r="S10" s="349"/>
      <c r="T10" s="349"/>
      <c r="U10" s="349"/>
      <c r="V10" s="350"/>
    </row>
    <row r="11" spans="2:23">
      <c r="B11" s="348"/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49"/>
      <c r="N11" s="349"/>
      <c r="O11" s="349"/>
      <c r="P11" s="349"/>
      <c r="Q11" s="349"/>
      <c r="R11" s="349"/>
      <c r="S11" s="349"/>
      <c r="T11" s="349"/>
      <c r="U11" s="349"/>
      <c r="V11" s="350"/>
    </row>
    <row r="12" spans="2:23">
      <c r="B12" s="348"/>
      <c r="C12" s="349"/>
      <c r="D12" s="349"/>
      <c r="E12" s="349"/>
      <c r="F12" s="349"/>
      <c r="G12" s="349"/>
      <c r="H12" s="349"/>
      <c r="I12" s="349"/>
      <c r="J12" s="349"/>
      <c r="K12" s="349"/>
      <c r="L12" s="349"/>
      <c r="M12" s="349"/>
      <c r="N12" s="349"/>
      <c r="O12" s="349"/>
      <c r="P12" s="349"/>
      <c r="Q12" s="349"/>
      <c r="R12" s="349"/>
      <c r="S12" s="349"/>
      <c r="T12" s="349"/>
      <c r="U12" s="349"/>
      <c r="V12" s="350"/>
    </row>
    <row r="13" spans="2:23">
      <c r="B13" s="348"/>
      <c r="C13" s="349"/>
      <c r="D13" s="349"/>
      <c r="E13" s="349"/>
      <c r="F13" s="349"/>
      <c r="G13" s="349"/>
      <c r="H13" s="349"/>
      <c r="I13" s="349"/>
      <c r="J13" s="349"/>
      <c r="K13" s="349"/>
      <c r="L13" s="349"/>
      <c r="M13" s="349"/>
      <c r="N13" s="349"/>
      <c r="O13" s="349"/>
      <c r="P13" s="349"/>
      <c r="Q13" s="349"/>
      <c r="R13" s="349"/>
      <c r="S13" s="349"/>
      <c r="T13" s="349"/>
      <c r="U13" s="349"/>
      <c r="V13" s="350"/>
    </row>
    <row r="14" spans="2:23">
      <c r="B14" s="348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  <c r="N14" s="349"/>
      <c r="O14" s="349"/>
      <c r="P14" s="349"/>
      <c r="Q14" s="349"/>
      <c r="R14" s="349"/>
      <c r="S14" s="349"/>
      <c r="T14" s="349"/>
      <c r="U14" s="349"/>
      <c r="V14" s="350"/>
    </row>
    <row r="15" spans="2:23">
      <c r="B15" s="348"/>
      <c r="C15" s="349"/>
      <c r="D15" s="349"/>
      <c r="E15" s="349"/>
      <c r="F15" s="349"/>
      <c r="G15" s="349"/>
      <c r="H15" s="349"/>
      <c r="I15" s="349"/>
      <c r="J15" s="349"/>
      <c r="K15" s="349"/>
      <c r="L15" s="349"/>
      <c r="M15" s="349"/>
      <c r="N15" s="349"/>
      <c r="O15" s="349"/>
      <c r="P15" s="349"/>
      <c r="Q15" s="349"/>
      <c r="R15" s="349"/>
      <c r="S15" s="349"/>
      <c r="T15" s="349"/>
      <c r="U15" s="349"/>
      <c r="V15" s="350"/>
    </row>
    <row r="16" spans="2:23">
      <c r="B16" s="95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7"/>
    </row>
    <row r="17" spans="2:22">
      <c r="B17" s="94" t="s">
        <v>55</v>
      </c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3"/>
    </row>
    <row r="18" spans="2:22">
      <c r="B18" s="9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9"/>
    </row>
    <row r="19" spans="2:22">
      <c r="B19" s="348"/>
      <c r="C19" s="349"/>
      <c r="D19" s="349"/>
      <c r="E19" s="349"/>
      <c r="F19" s="349"/>
      <c r="G19" s="349"/>
      <c r="H19" s="349"/>
      <c r="I19" s="349"/>
      <c r="J19" s="349"/>
      <c r="K19" s="349"/>
      <c r="L19" s="349"/>
      <c r="M19" s="349"/>
      <c r="N19" s="349"/>
      <c r="O19" s="349"/>
      <c r="P19" s="349"/>
      <c r="Q19" s="349"/>
      <c r="R19" s="349"/>
      <c r="S19" s="349"/>
      <c r="T19" s="349"/>
      <c r="U19" s="349"/>
      <c r="V19" s="350"/>
    </row>
    <row r="20" spans="2:22">
      <c r="B20" s="348"/>
      <c r="C20" s="349"/>
      <c r="D20" s="349"/>
      <c r="E20" s="349"/>
      <c r="F20" s="349"/>
      <c r="G20" s="349"/>
      <c r="H20" s="349"/>
      <c r="I20" s="349"/>
      <c r="J20" s="349"/>
      <c r="K20" s="349"/>
      <c r="L20" s="349"/>
      <c r="M20" s="349"/>
      <c r="N20" s="349"/>
      <c r="O20" s="349"/>
      <c r="P20" s="349"/>
      <c r="Q20" s="349"/>
      <c r="R20" s="349"/>
      <c r="S20" s="349"/>
      <c r="T20" s="349"/>
      <c r="U20" s="349"/>
      <c r="V20" s="350"/>
    </row>
    <row r="21" spans="2:22">
      <c r="B21" s="348"/>
      <c r="C21" s="349"/>
      <c r="D21" s="349"/>
      <c r="E21" s="349"/>
      <c r="F21" s="349"/>
      <c r="G21" s="349"/>
      <c r="H21" s="349"/>
      <c r="I21" s="349"/>
      <c r="J21" s="349"/>
      <c r="K21" s="349"/>
      <c r="L21" s="349"/>
      <c r="M21" s="349"/>
      <c r="N21" s="349"/>
      <c r="O21" s="349"/>
      <c r="P21" s="349"/>
      <c r="Q21" s="349"/>
      <c r="R21" s="349"/>
      <c r="S21" s="349"/>
      <c r="T21" s="349"/>
      <c r="U21" s="349"/>
      <c r="V21" s="350"/>
    </row>
    <row r="22" spans="2:22">
      <c r="B22" s="348"/>
      <c r="C22" s="349"/>
      <c r="D22" s="349"/>
      <c r="E22" s="349"/>
      <c r="F22" s="349"/>
      <c r="G22" s="349"/>
      <c r="H22" s="349"/>
      <c r="I22" s="349"/>
      <c r="J22" s="349"/>
      <c r="K22" s="349"/>
      <c r="L22" s="349"/>
      <c r="M22" s="349"/>
      <c r="N22" s="349"/>
      <c r="O22" s="349"/>
      <c r="P22" s="349"/>
      <c r="Q22" s="349"/>
      <c r="R22" s="349"/>
      <c r="S22" s="349"/>
      <c r="T22" s="349"/>
      <c r="U22" s="349"/>
      <c r="V22" s="350"/>
    </row>
    <row r="23" spans="2:22">
      <c r="B23" s="348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  <c r="V23" s="350"/>
    </row>
    <row r="24" spans="2:22">
      <c r="B24" s="348"/>
      <c r="C24" s="359"/>
      <c r="D24" s="359"/>
      <c r="E24" s="349"/>
      <c r="F24" s="349"/>
      <c r="G24" s="349"/>
      <c r="H24" s="349"/>
      <c r="I24" s="349"/>
      <c r="J24" s="349"/>
      <c r="K24" s="349"/>
      <c r="L24" s="349"/>
      <c r="M24" s="349"/>
      <c r="N24" s="349"/>
      <c r="O24" s="349"/>
      <c r="P24" s="349"/>
      <c r="Q24" s="349"/>
      <c r="R24" s="349"/>
      <c r="S24" s="349"/>
      <c r="T24" s="349"/>
      <c r="U24" s="349"/>
      <c r="V24" s="350"/>
    </row>
    <row r="25" spans="2:22">
      <c r="B25" s="348" t="s">
        <v>194</v>
      </c>
      <c r="C25" s="349"/>
      <c r="D25" s="349"/>
      <c r="E25" s="349"/>
      <c r="F25" s="349"/>
      <c r="G25" s="349"/>
      <c r="H25" s="349"/>
      <c r="I25" s="349"/>
      <c r="J25" s="349"/>
      <c r="K25" s="349"/>
      <c r="L25" s="349"/>
      <c r="M25" s="349"/>
      <c r="N25" s="349"/>
      <c r="O25" s="349"/>
      <c r="P25" s="349"/>
      <c r="Q25" s="349"/>
      <c r="R25" s="349"/>
      <c r="S25" s="349"/>
      <c r="T25" s="349"/>
      <c r="U25" s="349"/>
      <c r="V25" s="350"/>
    </row>
    <row r="26" spans="2:22">
      <c r="B26" s="348"/>
      <c r="C26" s="349"/>
      <c r="D26" s="349"/>
      <c r="E26" s="349"/>
      <c r="F26" s="349"/>
      <c r="G26" s="349"/>
      <c r="H26" s="349"/>
      <c r="I26" s="349"/>
      <c r="J26" s="349"/>
      <c r="K26" s="349"/>
      <c r="L26" s="349"/>
      <c r="M26" s="349"/>
      <c r="N26" s="349"/>
      <c r="O26" s="349"/>
      <c r="P26" s="349"/>
      <c r="Q26" s="349"/>
      <c r="R26" s="349"/>
      <c r="S26" s="349"/>
      <c r="T26" s="349"/>
      <c r="U26" s="349"/>
      <c r="V26" s="350"/>
    </row>
    <row r="27" spans="2:22">
      <c r="B27" s="348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49"/>
      <c r="U27" s="349"/>
      <c r="V27" s="350"/>
    </row>
    <row r="28" spans="2:22">
      <c r="B28" s="348"/>
      <c r="C28" s="349"/>
      <c r="D28" s="349"/>
      <c r="E28" s="349"/>
      <c r="F28" s="349"/>
      <c r="G28" s="349"/>
      <c r="H28" s="349"/>
      <c r="I28" s="349"/>
      <c r="J28" s="349"/>
      <c r="K28" s="349"/>
      <c r="L28" s="349"/>
      <c r="M28" s="349"/>
      <c r="N28" s="349"/>
      <c r="O28" s="349"/>
      <c r="P28" s="349"/>
      <c r="Q28" s="349"/>
      <c r="R28" s="349"/>
      <c r="S28" s="349"/>
      <c r="T28" s="349"/>
      <c r="U28" s="349"/>
      <c r="V28" s="350"/>
    </row>
    <row r="29" spans="2:22">
      <c r="B29" s="348"/>
      <c r="C29" s="349"/>
      <c r="D29" s="349"/>
      <c r="E29" s="349"/>
      <c r="F29" s="349"/>
      <c r="G29" s="349"/>
      <c r="H29" s="349"/>
      <c r="I29" s="349"/>
      <c r="J29" s="349"/>
      <c r="K29" s="349"/>
      <c r="L29" s="349"/>
      <c r="M29" s="349"/>
      <c r="N29" s="349"/>
      <c r="O29" s="349"/>
      <c r="P29" s="349"/>
      <c r="Q29" s="349"/>
      <c r="R29" s="349"/>
      <c r="S29" s="349"/>
      <c r="T29" s="349"/>
      <c r="U29" s="349"/>
      <c r="V29" s="350"/>
    </row>
    <row r="30" spans="2:22">
      <c r="B30" s="348"/>
      <c r="C30" s="349"/>
      <c r="D30" s="349"/>
      <c r="E30" s="349"/>
      <c r="F30" s="349"/>
      <c r="G30" s="349"/>
      <c r="H30" s="349"/>
      <c r="I30" s="349"/>
      <c r="J30" s="349"/>
      <c r="K30" s="349"/>
      <c r="L30" s="349"/>
      <c r="M30" s="349"/>
      <c r="N30" s="349"/>
      <c r="O30" s="349"/>
      <c r="P30" s="349"/>
      <c r="Q30" s="349"/>
      <c r="R30" s="349"/>
      <c r="S30" s="349"/>
      <c r="T30" s="349"/>
      <c r="U30" s="349"/>
      <c r="V30" s="350"/>
    </row>
    <row r="31" spans="2:22">
      <c r="B31" s="348"/>
      <c r="C31" s="349"/>
      <c r="D31" s="349"/>
      <c r="E31" s="349"/>
      <c r="F31" s="349"/>
      <c r="G31" s="349"/>
      <c r="H31" s="349"/>
      <c r="I31" s="349"/>
      <c r="J31" s="349"/>
      <c r="K31" s="349"/>
      <c r="L31" s="349"/>
      <c r="M31" s="349"/>
      <c r="N31" s="349"/>
      <c r="O31" s="349"/>
      <c r="P31" s="349"/>
      <c r="Q31" s="349"/>
      <c r="R31" s="349"/>
      <c r="S31" s="349"/>
      <c r="T31" s="349"/>
      <c r="U31" s="349"/>
      <c r="V31" s="350"/>
    </row>
    <row r="32" spans="2:22">
      <c r="B32" s="348"/>
      <c r="C32" s="349"/>
      <c r="D32" s="349"/>
      <c r="E32" s="349"/>
      <c r="F32" s="349"/>
      <c r="G32" s="349"/>
      <c r="H32" s="349"/>
      <c r="I32" s="349"/>
      <c r="J32" s="349"/>
      <c r="K32" s="349"/>
      <c r="L32" s="349"/>
      <c r="M32" s="349"/>
      <c r="N32" s="349"/>
      <c r="O32" s="349"/>
      <c r="P32" s="349"/>
      <c r="Q32" s="349"/>
      <c r="R32" s="349"/>
      <c r="S32" s="349"/>
      <c r="T32" s="349"/>
      <c r="U32" s="349"/>
      <c r="V32" s="350"/>
    </row>
    <row r="33" spans="2:22">
      <c r="B33" s="348"/>
      <c r="C33" s="349"/>
      <c r="D33" s="349"/>
      <c r="E33" s="349"/>
      <c r="F33" s="349"/>
      <c r="G33" s="349"/>
      <c r="H33" s="349"/>
      <c r="I33" s="349"/>
      <c r="J33" s="349"/>
      <c r="K33" s="349"/>
      <c r="L33" s="349"/>
      <c r="M33" s="349"/>
      <c r="N33" s="349"/>
      <c r="O33" s="349"/>
      <c r="P33" s="349"/>
      <c r="Q33" s="349"/>
      <c r="R33" s="349"/>
      <c r="S33" s="349"/>
      <c r="T33" s="349"/>
      <c r="U33" s="349"/>
      <c r="V33" s="350"/>
    </row>
    <row r="34" spans="2:22">
      <c r="B34" s="348"/>
      <c r="C34" s="349"/>
      <c r="D34" s="349"/>
      <c r="E34" s="349"/>
      <c r="F34" s="349"/>
      <c r="G34" s="349"/>
      <c r="H34" s="349"/>
      <c r="I34" s="349"/>
      <c r="J34" s="349"/>
      <c r="K34" s="349"/>
      <c r="L34" s="349"/>
      <c r="M34" s="349"/>
      <c r="N34" s="349"/>
      <c r="O34" s="349"/>
      <c r="P34" s="349"/>
      <c r="Q34" s="349"/>
      <c r="R34" s="349"/>
      <c r="S34" s="349"/>
      <c r="T34" s="349"/>
      <c r="U34" s="349"/>
      <c r="V34" s="350"/>
    </row>
    <row r="35" spans="2:22">
      <c r="B35" s="348"/>
      <c r="C35" s="349"/>
      <c r="D35" s="349"/>
      <c r="E35" s="349"/>
      <c r="F35" s="349"/>
      <c r="G35" s="349"/>
      <c r="H35" s="349"/>
      <c r="I35" s="349"/>
      <c r="J35" s="349"/>
      <c r="K35" s="349"/>
      <c r="L35" s="349"/>
      <c r="M35" s="349"/>
      <c r="N35" s="349"/>
      <c r="O35" s="349"/>
      <c r="P35" s="349"/>
      <c r="Q35" s="349"/>
      <c r="R35" s="349"/>
      <c r="S35" s="349"/>
      <c r="T35" s="349"/>
      <c r="U35" s="349"/>
      <c r="V35" s="350"/>
    </row>
    <row r="36" spans="2:22">
      <c r="B36" s="348"/>
      <c r="C36" s="349"/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349"/>
      <c r="O36" s="349"/>
      <c r="P36" s="349"/>
      <c r="Q36" s="349"/>
      <c r="R36" s="349"/>
      <c r="S36" s="349"/>
      <c r="T36" s="349"/>
      <c r="U36" s="349"/>
      <c r="V36" s="350"/>
    </row>
    <row r="37" spans="2:22">
      <c r="B37" s="91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3"/>
    </row>
    <row r="38" spans="2:22">
      <c r="B38" s="94" t="s">
        <v>56</v>
      </c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3"/>
    </row>
    <row r="39" spans="2:22">
      <c r="B39" s="91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3"/>
    </row>
    <row r="40" spans="2:22">
      <c r="B40" s="348" t="s">
        <v>67</v>
      </c>
      <c r="C40" s="349"/>
      <c r="D40" s="349"/>
      <c r="E40" s="349"/>
      <c r="F40" s="349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49"/>
      <c r="V40" s="350"/>
    </row>
    <row r="41" spans="2:22">
      <c r="B41" s="348" t="s">
        <v>68</v>
      </c>
      <c r="C41" s="349"/>
      <c r="D41" s="349"/>
      <c r="E41" s="349"/>
      <c r="F41" s="349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49"/>
      <c r="V41" s="350"/>
    </row>
    <row r="42" spans="2:22">
      <c r="B42" s="348" t="s">
        <v>69</v>
      </c>
      <c r="C42" s="349"/>
      <c r="D42" s="349"/>
      <c r="E42" s="349"/>
      <c r="F42" s="349"/>
      <c r="G42" s="349"/>
      <c r="H42" s="349"/>
      <c r="I42" s="349"/>
      <c r="J42" s="349"/>
      <c r="K42" s="349"/>
      <c r="L42" s="349"/>
      <c r="M42" s="349"/>
      <c r="N42" s="349"/>
      <c r="O42" s="349"/>
      <c r="P42" s="349"/>
      <c r="Q42" s="349"/>
      <c r="R42" s="349"/>
      <c r="S42" s="349"/>
      <c r="T42" s="349"/>
      <c r="U42" s="349"/>
      <c r="V42" s="350"/>
    </row>
    <row r="43" spans="2:22">
      <c r="B43" s="348"/>
      <c r="C43" s="349"/>
      <c r="D43" s="349"/>
      <c r="E43" s="349"/>
      <c r="F43" s="349"/>
      <c r="G43" s="349"/>
      <c r="H43" s="349"/>
      <c r="I43" s="349"/>
      <c r="J43" s="349"/>
      <c r="K43" s="349"/>
      <c r="L43" s="349"/>
      <c r="M43" s="349"/>
      <c r="N43" s="349"/>
      <c r="O43" s="349"/>
      <c r="P43" s="349"/>
      <c r="Q43" s="349"/>
      <c r="R43" s="349"/>
      <c r="S43" s="349"/>
      <c r="T43" s="349"/>
      <c r="U43" s="349"/>
      <c r="V43" s="350"/>
    </row>
    <row r="44" spans="2:22">
      <c r="B44" s="348"/>
      <c r="C44" s="349"/>
      <c r="D44" s="349"/>
      <c r="E44" s="349"/>
      <c r="F44" s="349"/>
      <c r="G44" s="349"/>
      <c r="H44" s="349"/>
      <c r="I44" s="349"/>
      <c r="J44" s="349"/>
      <c r="K44" s="349"/>
      <c r="L44" s="349"/>
      <c r="M44" s="349"/>
      <c r="N44" s="349"/>
      <c r="O44" s="349"/>
      <c r="P44" s="349"/>
      <c r="Q44" s="349"/>
      <c r="R44" s="349"/>
      <c r="S44" s="349"/>
      <c r="T44" s="349"/>
      <c r="U44" s="349"/>
      <c r="V44" s="350"/>
    </row>
    <row r="45" spans="2:22">
      <c r="B45" s="348"/>
      <c r="C45" s="349"/>
      <c r="D45" s="349"/>
      <c r="E45" s="349"/>
      <c r="F45" s="349"/>
      <c r="G45" s="349"/>
      <c r="H45" s="349"/>
      <c r="I45" s="349"/>
      <c r="J45" s="349"/>
      <c r="K45" s="349"/>
      <c r="L45" s="349"/>
      <c r="M45" s="349"/>
      <c r="N45" s="349"/>
      <c r="O45" s="349"/>
      <c r="P45" s="349"/>
      <c r="Q45" s="349"/>
      <c r="R45" s="349"/>
      <c r="S45" s="349"/>
      <c r="T45" s="349"/>
      <c r="U45" s="349"/>
      <c r="V45" s="350"/>
    </row>
    <row r="46" spans="2:22">
      <c r="B46" s="348"/>
      <c r="C46" s="349"/>
      <c r="D46" s="349"/>
      <c r="E46" s="349"/>
      <c r="F46" s="349"/>
      <c r="G46" s="349"/>
      <c r="H46" s="349"/>
      <c r="I46" s="349"/>
      <c r="J46" s="349"/>
      <c r="K46" s="349"/>
      <c r="L46" s="349"/>
      <c r="M46" s="349"/>
      <c r="N46" s="349"/>
      <c r="O46" s="349"/>
      <c r="P46" s="349"/>
      <c r="Q46" s="349"/>
      <c r="R46" s="349"/>
      <c r="S46" s="349"/>
      <c r="T46" s="349"/>
      <c r="U46" s="349"/>
      <c r="V46" s="350"/>
    </row>
    <row r="47" spans="2:22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49"/>
      <c r="P47" s="349"/>
      <c r="Q47" s="349"/>
      <c r="R47" s="349"/>
      <c r="S47" s="349"/>
      <c r="T47" s="349"/>
      <c r="U47" s="349"/>
      <c r="V47" s="350"/>
    </row>
    <row r="48" spans="2:22">
      <c r="B48" s="348"/>
      <c r="C48" s="349"/>
      <c r="D48" s="349"/>
      <c r="E48" s="349"/>
      <c r="F48" s="349"/>
      <c r="G48" s="349"/>
      <c r="H48" s="349"/>
      <c r="I48" s="349"/>
      <c r="J48" s="349"/>
      <c r="K48" s="349"/>
      <c r="L48" s="349"/>
      <c r="M48" s="349"/>
      <c r="N48" s="349"/>
      <c r="O48" s="349"/>
      <c r="P48" s="349"/>
      <c r="Q48" s="349"/>
      <c r="R48" s="349"/>
      <c r="S48" s="349"/>
      <c r="T48" s="349"/>
      <c r="U48" s="349"/>
      <c r="V48" s="350"/>
    </row>
    <row r="49" spans="2:29">
      <c r="B49" s="348"/>
      <c r="C49" s="349"/>
      <c r="D49" s="349"/>
      <c r="E49" s="349"/>
      <c r="F49" s="349"/>
      <c r="G49" s="349"/>
      <c r="H49" s="349"/>
      <c r="I49" s="349"/>
      <c r="J49" s="349"/>
      <c r="K49" s="349"/>
      <c r="L49" s="349"/>
      <c r="M49" s="349"/>
      <c r="N49" s="349"/>
      <c r="O49" s="349"/>
      <c r="P49" s="349"/>
      <c r="Q49" s="349"/>
      <c r="R49" s="349"/>
      <c r="S49" s="349"/>
      <c r="T49" s="349"/>
      <c r="U49" s="349"/>
      <c r="V49" s="350"/>
    </row>
    <row r="50" spans="2:29">
      <c r="B50" s="100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2"/>
    </row>
    <row r="51" spans="2:29">
      <c r="B51" s="94" t="s">
        <v>57</v>
      </c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3"/>
    </row>
    <row r="52" spans="2:29">
      <c r="B52" s="103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97"/>
    </row>
    <row r="53" spans="2:29">
      <c r="B53" s="348" t="s">
        <v>199</v>
      </c>
      <c r="C53" s="349"/>
      <c r="D53" s="349"/>
      <c r="E53" s="349"/>
      <c r="F53" s="349"/>
      <c r="G53" s="360"/>
      <c r="H53" s="349" t="s">
        <v>196</v>
      </c>
      <c r="I53" s="349"/>
      <c r="J53" s="349"/>
      <c r="K53" s="349"/>
      <c r="L53" s="360"/>
      <c r="M53" s="349"/>
      <c r="N53" s="349"/>
      <c r="O53" s="349"/>
      <c r="P53" s="349"/>
      <c r="Q53" s="349"/>
      <c r="R53" s="349"/>
      <c r="S53" s="349"/>
      <c r="T53" s="349"/>
      <c r="U53" s="349"/>
      <c r="V53" s="350"/>
      <c r="Y53" s="78" t="s">
        <v>196</v>
      </c>
      <c r="AC53" s="78">
        <v>1</v>
      </c>
    </row>
    <row r="54" spans="2:29">
      <c r="B54" s="348" t="s">
        <v>200</v>
      </c>
      <c r="C54" s="349"/>
      <c r="D54" s="349"/>
      <c r="E54" s="349"/>
      <c r="F54" s="349"/>
      <c r="G54" s="360"/>
      <c r="H54" s="349"/>
      <c r="I54" s="349"/>
      <c r="J54" s="349"/>
      <c r="K54" s="349"/>
      <c r="L54" s="349"/>
      <c r="M54" s="349"/>
      <c r="N54" s="349"/>
      <c r="O54" s="349"/>
      <c r="P54" s="349"/>
      <c r="Q54" s="349"/>
      <c r="R54" s="349"/>
      <c r="S54" s="349"/>
      <c r="T54" s="349"/>
      <c r="U54" s="349"/>
      <c r="V54" s="350"/>
      <c r="Y54" s="78" t="s">
        <v>197</v>
      </c>
      <c r="AC54" s="78">
        <v>2</v>
      </c>
    </row>
    <row r="55" spans="2:29">
      <c r="B55" s="348" t="s">
        <v>70</v>
      </c>
      <c r="C55" s="349"/>
      <c r="D55" s="349"/>
      <c r="E55" s="349"/>
      <c r="F55" s="349"/>
      <c r="G55" s="361"/>
      <c r="H55" s="349" t="s">
        <v>13</v>
      </c>
      <c r="I55" s="349"/>
      <c r="J55" s="349"/>
      <c r="K55" s="349"/>
      <c r="L55" s="363"/>
      <c r="M55" s="349"/>
      <c r="N55" s="349"/>
      <c r="O55" s="349"/>
      <c r="P55" s="349"/>
      <c r="Q55" s="349"/>
      <c r="R55" s="349"/>
      <c r="S55" s="349"/>
      <c r="T55" s="349"/>
      <c r="U55" s="349"/>
      <c r="V55" s="350"/>
      <c r="Y55" s="78" t="s">
        <v>198</v>
      </c>
      <c r="AC55" s="78">
        <v>3</v>
      </c>
    </row>
    <row r="56" spans="2:29" ht="21">
      <c r="B56" s="348" t="s">
        <v>71</v>
      </c>
      <c r="C56" s="349"/>
      <c r="D56" s="349"/>
      <c r="E56" s="349"/>
      <c r="F56" s="349"/>
      <c r="G56" s="362"/>
      <c r="H56" s="349" t="s">
        <v>72</v>
      </c>
      <c r="I56" s="349"/>
      <c r="J56" s="349"/>
      <c r="K56" s="349"/>
      <c r="L56" s="349"/>
      <c r="M56" s="349"/>
      <c r="N56" s="349"/>
      <c r="O56" s="349"/>
      <c r="P56" s="349"/>
      <c r="Q56" s="349"/>
      <c r="R56" s="349"/>
      <c r="S56" s="349"/>
      <c r="T56" s="349"/>
      <c r="U56" s="349"/>
      <c r="V56" s="350"/>
      <c r="Y56" s="78" t="s">
        <v>193</v>
      </c>
      <c r="AC56" s="78">
        <v>4</v>
      </c>
    </row>
    <row r="57" spans="2:29">
      <c r="B57" s="348" t="s">
        <v>201</v>
      </c>
      <c r="C57" s="349"/>
      <c r="D57" s="349"/>
      <c r="E57" s="349"/>
      <c r="F57" s="349"/>
      <c r="G57" s="362"/>
      <c r="H57" s="349"/>
      <c r="I57" s="349"/>
      <c r="J57" s="349"/>
      <c r="K57" s="349"/>
      <c r="L57" s="364"/>
      <c r="M57" s="349"/>
      <c r="N57" s="349"/>
      <c r="O57" s="349"/>
      <c r="P57" s="349"/>
      <c r="Q57" s="349"/>
      <c r="R57" s="349"/>
      <c r="S57" s="349"/>
      <c r="T57" s="349"/>
      <c r="U57" s="349"/>
      <c r="V57" s="350"/>
    </row>
    <row r="58" spans="2:29">
      <c r="B58" s="348"/>
      <c r="C58" s="349"/>
      <c r="D58" s="349"/>
      <c r="E58" s="349"/>
      <c r="F58" s="349"/>
      <c r="G58" s="349"/>
      <c r="H58" s="349"/>
      <c r="I58" s="349"/>
      <c r="J58" s="349"/>
      <c r="K58" s="349"/>
      <c r="L58" s="349"/>
      <c r="M58" s="349"/>
      <c r="N58" s="349"/>
      <c r="O58" s="349"/>
      <c r="P58" s="349"/>
      <c r="Q58" s="349"/>
      <c r="R58" s="349"/>
      <c r="S58" s="349"/>
      <c r="T58" s="349"/>
      <c r="U58" s="349"/>
      <c r="V58" s="350"/>
    </row>
    <row r="59" spans="2:29">
      <c r="B59" s="348"/>
      <c r="C59" s="349"/>
      <c r="D59" s="349"/>
      <c r="E59" s="349"/>
      <c r="F59" s="349"/>
      <c r="G59" s="349"/>
      <c r="H59" s="349"/>
      <c r="I59" s="349"/>
      <c r="J59" s="349"/>
      <c r="K59" s="349"/>
      <c r="L59" s="349"/>
      <c r="M59" s="349"/>
      <c r="N59" s="349"/>
      <c r="O59" s="349"/>
      <c r="P59" s="349"/>
      <c r="Q59" s="349"/>
      <c r="R59" s="349"/>
      <c r="S59" s="349"/>
      <c r="T59" s="349"/>
      <c r="U59" s="349"/>
      <c r="V59" s="350"/>
    </row>
    <row r="60" spans="2:29">
      <c r="B60" s="348"/>
      <c r="C60" s="349"/>
      <c r="D60" s="349"/>
      <c r="E60" s="349"/>
      <c r="F60" s="349"/>
      <c r="G60" s="349"/>
      <c r="H60" s="349"/>
      <c r="I60" s="349"/>
      <c r="J60" s="349"/>
      <c r="K60" s="349"/>
      <c r="L60" s="349"/>
      <c r="M60" s="349"/>
      <c r="N60" s="349"/>
      <c r="O60" s="349"/>
      <c r="P60" s="349"/>
      <c r="Q60" s="349"/>
      <c r="R60" s="349"/>
      <c r="S60" s="349"/>
      <c r="T60" s="349"/>
      <c r="U60" s="349"/>
      <c r="V60" s="350"/>
    </row>
    <row r="61" spans="2:29" ht="18.75" thickBot="1">
      <c r="B61" s="104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105"/>
    </row>
    <row r="62" spans="2:29" ht="18" customHeight="1">
      <c r="B62" s="106"/>
      <c r="C62" s="434">
        <v>1</v>
      </c>
      <c r="D62" s="435"/>
      <c r="E62" s="438" t="s">
        <v>58</v>
      </c>
      <c r="F62" s="439"/>
      <c r="G62" s="434">
        <v>2</v>
      </c>
      <c r="H62" s="435"/>
      <c r="I62" s="438" t="s">
        <v>58</v>
      </c>
      <c r="J62" s="439"/>
      <c r="K62" s="434">
        <v>3</v>
      </c>
      <c r="L62" s="435"/>
      <c r="M62" s="438" t="s">
        <v>58</v>
      </c>
      <c r="N62" s="439"/>
      <c r="O62" s="434">
        <v>4</v>
      </c>
      <c r="P62" s="435"/>
      <c r="Q62" s="438" t="s">
        <v>58</v>
      </c>
      <c r="R62" s="439"/>
      <c r="S62" s="434">
        <v>5</v>
      </c>
      <c r="T62" s="435"/>
      <c r="U62" s="107" t="s">
        <v>58</v>
      </c>
      <c r="V62" s="69"/>
    </row>
    <row r="63" spans="2:29" ht="18" customHeight="1">
      <c r="B63" s="108" t="s">
        <v>59</v>
      </c>
      <c r="C63" s="431"/>
      <c r="D63" s="432"/>
      <c r="E63" s="432"/>
      <c r="F63" s="433"/>
      <c r="G63" s="431"/>
      <c r="H63" s="432"/>
      <c r="I63" s="432"/>
      <c r="J63" s="433"/>
      <c r="K63" s="431"/>
      <c r="L63" s="432"/>
      <c r="M63" s="432"/>
      <c r="N63" s="433"/>
      <c r="O63" s="431"/>
      <c r="P63" s="432"/>
      <c r="Q63" s="432"/>
      <c r="R63" s="433"/>
      <c r="S63" s="431"/>
      <c r="T63" s="432"/>
      <c r="U63" s="432"/>
      <c r="V63" s="433"/>
    </row>
    <row r="64" spans="2:29" ht="18" customHeight="1">
      <c r="B64" s="108" t="s">
        <v>60</v>
      </c>
      <c r="C64" s="431" t="s">
        <v>61</v>
      </c>
      <c r="D64" s="436"/>
      <c r="E64" s="427">
        <v>37963</v>
      </c>
      <c r="F64" s="428"/>
      <c r="G64" s="431"/>
      <c r="H64" s="436"/>
      <c r="I64" s="427"/>
      <c r="J64" s="428"/>
      <c r="K64" s="431"/>
      <c r="L64" s="436"/>
      <c r="M64" s="427"/>
      <c r="N64" s="428"/>
      <c r="O64" s="431"/>
      <c r="P64" s="436"/>
      <c r="Q64" s="427"/>
      <c r="R64" s="428"/>
      <c r="S64" s="431"/>
      <c r="T64" s="436"/>
      <c r="U64" s="427"/>
      <c r="V64" s="428"/>
      <c r="Y64" s="401">
        <f>MAX(E64,I64,M64,Q64,U64)</f>
        <v>37963</v>
      </c>
    </row>
    <row r="65" spans="1:25" s="110" customFormat="1" ht="18" customHeight="1">
      <c r="A65" s="109"/>
      <c r="B65" s="108" t="s">
        <v>62</v>
      </c>
      <c r="C65" s="431"/>
      <c r="D65" s="436"/>
      <c r="E65" s="427"/>
      <c r="F65" s="428"/>
      <c r="G65" s="431"/>
      <c r="H65" s="436"/>
      <c r="I65" s="427"/>
      <c r="J65" s="428"/>
      <c r="K65" s="431"/>
      <c r="L65" s="436"/>
      <c r="M65" s="427"/>
      <c r="N65" s="428"/>
      <c r="O65" s="431"/>
      <c r="P65" s="436"/>
      <c r="Q65" s="427"/>
      <c r="R65" s="428"/>
      <c r="S65" s="431"/>
      <c r="T65" s="436"/>
      <c r="U65" s="427"/>
      <c r="V65" s="428"/>
      <c r="Y65" s="401">
        <f>MAX(E65,I65,M65,Q65,U65)</f>
        <v>0</v>
      </c>
    </row>
    <row r="66" spans="1:25" ht="18" customHeight="1">
      <c r="B66" s="108" t="s">
        <v>63</v>
      </c>
      <c r="C66" s="431"/>
      <c r="D66" s="436"/>
      <c r="E66" s="427"/>
      <c r="F66" s="428"/>
      <c r="G66" s="431"/>
      <c r="H66" s="436"/>
      <c r="I66" s="427"/>
      <c r="J66" s="428"/>
      <c r="K66" s="431"/>
      <c r="L66" s="436"/>
      <c r="M66" s="427"/>
      <c r="N66" s="428"/>
      <c r="O66" s="431"/>
      <c r="P66" s="436"/>
      <c r="Q66" s="427"/>
      <c r="R66" s="428"/>
      <c r="S66" s="431"/>
      <c r="T66" s="436"/>
      <c r="U66" s="427"/>
      <c r="V66" s="428"/>
      <c r="Y66" s="401">
        <f>MAX(E66,I66,M66,Q66,U66)</f>
        <v>0</v>
      </c>
    </row>
    <row r="67" spans="1:25" ht="18" customHeight="1" thickBot="1">
      <c r="B67" s="111" t="s">
        <v>64</v>
      </c>
      <c r="C67" s="423"/>
      <c r="D67" s="424"/>
      <c r="E67" s="429"/>
      <c r="F67" s="430"/>
      <c r="G67" s="423"/>
      <c r="H67" s="424"/>
      <c r="I67" s="429"/>
      <c r="J67" s="430"/>
      <c r="K67" s="423"/>
      <c r="L67" s="424"/>
      <c r="M67" s="429"/>
      <c r="N67" s="430"/>
      <c r="O67" s="423"/>
      <c r="P67" s="424"/>
      <c r="Q67" s="429"/>
      <c r="R67" s="430"/>
      <c r="S67" s="423"/>
      <c r="T67" s="424"/>
      <c r="U67" s="429"/>
      <c r="V67" s="430"/>
    </row>
    <row r="68" spans="1:25">
      <c r="V68" s="112"/>
    </row>
    <row r="71" spans="1:25">
      <c r="B71" s="113"/>
    </row>
  </sheetData>
  <mergeCells count="56">
    <mergeCell ref="C66:D66"/>
    <mergeCell ref="G66:H66"/>
    <mergeCell ref="C67:D67"/>
    <mergeCell ref="E66:F66"/>
    <mergeCell ref="E67:F67"/>
    <mergeCell ref="G67:H67"/>
    <mergeCell ref="E62:F62"/>
    <mergeCell ref="C63:F63"/>
    <mergeCell ref="E64:F64"/>
    <mergeCell ref="E65:F65"/>
    <mergeCell ref="C62:D62"/>
    <mergeCell ref="C64:D64"/>
    <mergeCell ref="C65:D65"/>
    <mergeCell ref="I67:J67"/>
    <mergeCell ref="G63:J63"/>
    <mergeCell ref="G62:H62"/>
    <mergeCell ref="G64:H64"/>
    <mergeCell ref="G65:H65"/>
    <mergeCell ref="I62:J62"/>
    <mergeCell ref="I64:J64"/>
    <mergeCell ref="I65:J65"/>
    <mergeCell ref="I66:J66"/>
    <mergeCell ref="M62:N62"/>
    <mergeCell ref="K63:N63"/>
    <mergeCell ref="M64:N64"/>
    <mergeCell ref="M65:N65"/>
    <mergeCell ref="K62:L62"/>
    <mergeCell ref="K64:L64"/>
    <mergeCell ref="K65:L65"/>
    <mergeCell ref="O64:P64"/>
    <mergeCell ref="O65:P65"/>
    <mergeCell ref="O66:P66"/>
    <mergeCell ref="K67:L67"/>
    <mergeCell ref="M66:N66"/>
    <mergeCell ref="M67:N67"/>
    <mergeCell ref="K66:L66"/>
    <mergeCell ref="S66:T66"/>
    <mergeCell ref="O67:P67"/>
    <mergeCell ref="Q2:R2"/>
    <mergeCell ref="Q62:R62"/>
    <mergeCell ref="O63:R63"/>
    <mergeCell ref="Q64:R64"/>
    <mergeCell ref="Q65:R65"/>
    <mergeCell ref="Q66:R66"/>
    <mergeCell ref="Q67:R67"/>
    <mergeCell ref="O62:P62"/>
    <mergeCell ref="S67:T67"/>
    <mergeCell ref="U2:V2"/>
    <mergeCell ref="U64:V64"/>
    <mergeCell ref="U65:V65"/>
    <mergeCell ref="U66:V66"/>
    <mergeCell ref="U67:V67"/>
    <mergeCell ref="S63:V63"/>
    <mergeCell ref="S62:T62"/>
    <mergeCell ref="S64:T64"/>
    <mergeCell ref="S65:T65"/>
  </mergeCells>
  <dataValidations count="1">
    <dataValidation type="list" allowBlank="1" showInputMessage="1" showErrorMessage="1" sqref="H53">
      <formula1>$Y$53:$Y$56</formula1>
    </dataValidation>
  </dataValidations>
  <printOptions horizontalCentered="1" verticalCentered="1" gridLinesSet="0"/>
  <pageMargins left="0.11811023622047245" right="0.11811023622047245" top="0.31496062992125984" bottom="0.19685039370078741" header="0.11811023622047245" footer="0.11811023622047245"/>
  <pageSetup paperSize="9" scale="61" orientation="portrait" blackAndWhite="1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B1:AB72"/>
  <sheetViews>
    <sheetView showZeros="0" tabSelected="1" zoomScale="87" zoomScaleNormal="85" zoomScaleSheetLayoutView="75" workbookViewId="0">
      <selection activeCell="U41" sqref="U41"/>
    </sheetView>
  </sheetViews>
  <sheetFormatPr defaultRowHeight="12.75"/>
  <cols>
    <col min="1" max="1" width="5.7109375" style="7" customWidth="1"/>
    <col min="2" max="2" width="19.7109375" style="7" customWidth="1"/>
    <col min="3" max="3" width="20.7109375" style="7" customWidth="1"/>
    <col min="4" max="4" width="16.28515625" style="7" customWidth="1"/>
    <col min="5" max="5" width="11.140625" style="7" customWidth="1"/>
    <col min="6" max="6" width="13.85546875" style="7" customWidth="1"/>
    <col min="7" max="7" width="11.85546875" style="7" customWidth="1"/>
    <col min="8" max="8" width="23.140625" style="7" customWidth="1"/>
    <col min="9" max="9" width="4.7109375" style="7" customWidth="1"/>
    <col min="10" max="10" width="6.85546875" style="7" hidden="1" customWidth="1"/>
    <col min="11" max="11" width="16.140625" style="7" hidden="1" customWidth="1"/>
    <col min="12" max="12" width="8.85546875" style="7" hidden="1" customWidth="1"/>
    <col min="13" max="13" width="10" style="7" hidden="1" customWidth="1"/>
    <col min="14" max="19" width="9.140625" style="7" hidden="1" customWidth="1"/>
    <col min="20" max="20" width="0" style="7" hidden="1" customWidth="1"/>
    <col min="21" max="21" width="11.28515625" style="7" customWidth="1"/>
    <col min="22" max="22" width="9.85546875" style="7" customWidth="1"/>
    <col min="23" max="23" width="9.42578125" style="7" customWidth="1"/>
    <col min="24" max="24" width="6.5703125" style="7" customWidth="1"/>
    <col min="25" max="25" width="9.140625" style="7"/>
    <col min="26" max="26" width="11.5703125" style="7" customWidth="1"/>
    <col min="27" max="16384" width="9.140625" style="7"/>
  </cols>
  <sheetData>
    <row r="1" spans="2:28" s="3" customFormat="1" ht="48" customHeight="1">
      <c r="B1" s="442" t="s">
        <v>163</v>
      </c>
      <c r="C1" s="443"/>
      <c r="D1" s="440"/>
      <c r="E1" s="440"/>
      <c r="F1" s="440"/>
      <c r="G1" s="440"/>
      <c r="H1" s="441"/>
    </row>
    <row r="2" spans="2:28" s="3" customFormat="1" ht="12.75" customHeight="1">
      <c r="B2" s="16" t="s">
        <v>2</v>
      </c>
      <c r="C2" s="58"/>
      <c r="D2" s="324" t="s">
        <v>162</v>
      </c>
      <c r="E2" s="325"/>
      <c r="F2" s="265" t="s">
        <v>164</v>
      </c>
      <c r="G2" s="379"/>
      <c r="H2" s="266"/>
    </row>
    <row r="3" spans="2:28" s="3" customFormat="1" ht="12.75" customHeight="1">
      <c r="B3" s="375"/>
      <c r="C3" s="376"/>
      <c r="D3" s="63" t="s">
        <v>39</v>
      </c>
      <c r="E3" s="325"/>
      <c r="F3" s="265" t="s">
        <v>38</v>
      </c>
      <c r="G3" s="379"/>
      <c r="H3" s="29" t="s">
        <v>1</v>
      </c>
      <c r="U3" s="3" t="s">
        <v>204</v>
      </c>
    </row>
    <row r="4" spans="2:28" s="3" customFormat="1" ht="32.25" customHeight="1" thickBot="1">
      <c r="B4" s="377"/>
      <c r="C4" s="378"/>
      <c r="D4" s="64" t="s">
        <v>37</v>
      </c>
      <c r="E4" s="325"/>
      <c r="F4" s="265"/>
      <c r="G4" s="379"/>
      <c r="H4" s="380"/>
      <c r="J4" s="242">
        <v>1</v>
      </c>
      <c r="K4" s="243">
        <f>CHOOSE($J$4,1,645.16)</f>
        <v>1</v>
      </c>
      <c r="L4" s="14" t="s">
        <v>143</v>
      </c>
      <c r="M4" s="244">
        <f>CHOOSE($J$4,F44,K24*F44)</f>
        <v>4.9362715693483725</v>
      </c>
      <c r="U4" s="3" t="s">
        <v>205</v>
      </c>
    </row>
    <row r="5" spans="2:28" s="3" customFormat="1" ht="12.75" customHeight="1">
      <c r="B5" s="4"/>
      <c r="C5" s="1"/>
      <c r="D5" s="1"/>
      <c r="E5" s="1"/>
      <c r="F5" s="1"/>
      <c r="G5" s="1"/>
      <c r="H5" s="241"/>
      <c r="J5" s="208"/>
      <c r="K5" s="209" t="s">
        <v>77</v>
      </c>
      <c r="L5" s="210"/>
      <c r="M5" s="230" t="s">
        <v>134</v>
      </c>
      <c r="U5" s="3" t="s">
        <v>206</v>
      </c>
    </row>
    <row r="6" spans="2:28" s="3" customFormat="1" ht="13.5" customHeight="1">
      <c r="B6" s="4"/>
      <c r="C6" s="1"/>
      <c r="D6" s="1"/>
      <c r="E6" s="1"/>
      <c r="G6" s="1"/>
      <c r="H6" s="30"/>
      <c r="J6" s="212" t="s">
        <v>132</v>
      </c>
      <c r="K6" s="213" t="s">
        <v>75</v>
      </c>
      <c r="L6" s="214"/>
      <c r="M6" s="382">
        <v>0.1</v>
      </c>
    </row>
    <row r="7" spans="2:28" s="5" customFormat="1" ht="17.25" customHeight="1">
      <c r="B7" s="407" t="s">
        <v>41</v>
      </c>
      <c r="C7" s="321"/>
      <c r="D7" s="408" t="s">
        <v>203</v>
      </c>
      <c r="E7" s="5" t="s">
        <v>205</v>
      </c>
      <c r="F7" s="2"/>
      <c r="G7" s="420" t="str">
        <f>IF(AND(E7="B/Bellows",CHOOSE(UNITS,1,14.503773)*F13&lt;=50),"WARNING VALVE TYPE!","")</f>
        <v/>
      </c>
      <c r="H7" s="32"/>
      <c r="J7" s="215" t="s">
        <v>142</v>
      </c>
      <c r="K7" s="216" t="s">
        <v>76</v>
      </c>
      <c r="L7" s="217"/>
      <c r="M7" s="382">
        <v>0.16</v>
      </c>
    </row>
    <row r="8" spans="2:28" ht="13.5" thickBot="1">
      <c r="B8" s="44" t="s">
        <v>43</v>
      </c>
      <c r="C8" s="322"/>
      <c r="D8" s="322"/>
      <c r="E8" s="322"/>
      <c r="F8" s="323"/>
      <c r="G8" s="322"/>
      <c r="H8" s="6"/>
      <c r="J8" s="215"/>
      <c r="K8" s="216"/>
      <c r="L8" s="217"/>
      <c r="M8" s="383">
        <v>0.21</v>
      </c>
      <c r="N8" s="3"/>
      <c r="O8" s="3" t="s">
        <v>133</v>
      </c>
      <c r="P8" s="3"/>
      <c r="Q8" s="3"/>
      <c r="R8" s="3"/>
      <c r="S8" s="3"/>
    </row>
    <row r="9" spans="2:28">
      <c r="B9" s="35"/>
      <c r="C9" s="311"/>
      <c r="D9" s="311"/>
      <c r="E9" s="311"/>
      <c r="F9" s="311"/>
      <c r="G9" s="311"/>
      <c r="H9" s="6"/>
      <c r="J9" s="218" t="s">
        <v>90</v>
      </c>
      <c r="K9" s="219" t="s">
        <v>136</v>
      </c>
      <c r="L9" s="219" t="s">
        <v>135</v>
      </c>
      <c r="M9" s="220" t="str">
        <f>CHOOSE(J4,"SI value","USCust value")</f>
        <v>SI value</v>
      </c>
      <c r="N9" s="231"/>
      <c r="O9" s="232"/>
      <c r="P9" s="232"/>
      <c r="Q9" s="232"/>
      <c r="R9" s="232"/>
      <c r="S9" s="233"/>
    </row>
    <row r="10" spans="2:28" ht="13.5" thickBot="1">
      <c r="B10" s="36" t="s">
        <v>113</v>
      </c>
      <c r="C10" s="8"/>
      <c r="D10" s="34"/>
      <c r="E10" s="34" t="s">
        <v>132</v>
      </c>
      <c r="F10" s="34" t="s">
        <v>91</v>
      </c>
      <c r="G10" s="34" t="s">
        <v>78</v>
      </c>
      <c r="H10" s="6"/>
      <c r="J10" s="221"/>
      <c r="K10" s="222"/>
      <c r="L10" s="222"/>
      <c r="M10" s="223"/>
      <c r="N10" s="234">
        <v>1</v>
      </c>
      <c r="O10" s="118">
        <v>2</v>
      </c>
      <c r="P10" s="118"/>
      <c r="Q10" s="119">
        <v>1E-4</v>
      </c>
      <c r="R10" s="122" t="s">
        <v>20</v>
      </c>
      <c r="S10" s="235">
        <v>0.11</v>
      </c>
    </row>
    <row r="11" spans="2:28">
      <c r="B11" s="37" t="s">
        <v>3</v>
      </c>
      <c r="C11" s="19"/>
      <c r="D11" s="19"/>
      <c r="E11" s="61" t="str">
        <f>CHOOSE(UNITS,"lb/h","kg/h")</f>
        <v>lb/h</v>
      </c>
      <c r="F11" s="297">
        <v>53500</v>
      </c>
      <c r="G11" s="300" t="s">
        <v>159</v>
      </c>
      <c r="H11" s="301"/>
      <c r="J11" s="221" t="s">
        <v>140</v>
      </c>
      <c r="K11" s="222">
        <f>CHOOSE($J$4,0.45359237,1/0.45359237)</f>
        <v>0.45359237000000002</v>
      </c>
      <c r="L11" s="222">
        <v>0</v>
      </c>
      <c r="M11" s="246">
        <f>F11*K11+L11</f>
        <v>24267.191795000002</v>
      </c>
      <c r="N11" s="234">
        <v>2</v>
      </c>
      <c r="O11" s="118"/>
      <c r="P11" s="118"/>
      <c r="Q11" s="121">
        <v>0.11</v>
      </c>
      <c r="R11" s="116" t="s">
        <v>22</v>
      </c>
      <c r="S11" s="236">
        <v>0.19600000000000001</v>
      </c>
      <c r="T11" s="165"/>
      <c r="U11" s="405" t="s">
        <v>231</v>
      </c>
    </row>
    <row r="12" spans="2:28">
      <c r="B12" s="35" t="s">
        <v>4</v>
      </c>
      <c r="C12" s="19"/>
      <c r="D12" s="19"/>
      <c r="E12" s="19" t="s">
        <v>0</v>
      </c>
      <c r="F12" s="298">
        <v>65</v>
      </c>
      <c r="G12" s="302"/>
      <c r="H12" s="301"/>
      <c r="J12" s="221" t="s">
        <v>0</v>
      </c>
      <c r="K12" s="222">
        <v>1</v>
      </c>
      <c r="L12" s="222"/>
      <c r="M12" s="247">
        <f t="shared" ref="M12:M17" si="0">F12*K12+L12</f>
        <v>65</v>
      </c>
      <c r="N12" s="234">
        <v>3</v>
      </c>
      <c r="O12" s="118"/>
      <c r="P12" s="118"/>
      <c r="Q12" s="120">
        <v>0.19600000000000001</v>
      </c>
      <c r="R12" s="116" t="s">
        <v>24</v>
      </c>
      <c r="S12" s="236">
        <v>0.307</v>
      </c>
      <c r="U12" s="5" t="s">
        <v>218</v>
      </c>
      <c r="V12" s="5"/>
      <c r="W12" s="5"/>
    </row>
    <row r="13" spans="2:28" s="5" customFormat="1">
      <c r="B13" s="35" t="s">
        <v>84</v>
      </c>
      <c r="C13" s="19"/>
      <c r="D13" s="19"/>
      <c r="E13" s="61" t="str">
        <f>CHOOSE(UNITS,"psig","barg")</f>
        <v>psig</v>
      </c>
      <c r="F13" s="298">
        <v>75</v>
      </c>
      <c r="G13" s="300"/>
      <c r="H13" s="303"/>
      <c r="J13" s="224" t="s">
        <v>139</v>
      </c>
      <c r="K13" s="225">
        <f>CHOOSE($J$4,0.068947573,1/0.068947573)</f>
        <v>6.8947572999999998E-2</v>
      </c>
      <c r="L13" s="225"/>
      <c r="M13" s="248">
        <f t="shared" si="0"/>
        <v>5.1710679749999997</v>
      </c>
      <c r="N13" s="234">
        <v>4</v>
      </c>
      <c r="O13" s="118"/>
      <c r="P13" s="118"/>
      <c r="Q13" s="120">
        <v>0.307</v>
      </c>
      <c r="R13" s="116" t="s">
        <v>26</v>
      </c>
      <c r="S13" s="236">
        <v>0.503</v>
      </c>
      <c r="V13" s="413" t="s">
        <v>223</v>
      </c>
      <c r="W13" s="413" t="s">
        <v>224</v>
      </c>
      <c r="Y13" s="414">
        <v>0.1</v>
      </c>
      <c r="Z13" s="415"/>
      <c r="AA13" s="415"/>
      <c r="AB13" s="416"/>
    </row>
    <row r="14" spans="2:28" s="5" customFormat="1" ht="15.75">
      <c r="B14" s="33" t="s">
        <v>5</v>
      </c>
      <c r="C14" s="34"/>
      <c r="D14" s="34"/>
      <c r="E14" s="34" t="s">
        <v>42</v>
      </c>
      <c r="F14" s="381">
        <v>0.1</v>
      </c>
      <c r="G14" s="300" t="s">
        <v>97</v>
      </c>
      <c r="H14" s="301"/>
      <c r="I14" s="27"/>
      <c r="J14" s="224" t="s">
        <v>42</v>
      </c>
      <c r="K14" s="225">
        <v>1</v>
      </c>
      <c r="L14" s="225"/>
      <c r="M14" s="248">
        <f t="shared" si="0"/>
        <v>0.1</v>
      </c>
      <c r="N14" s="234">
        <v>5</v>
      </c>
      <c r="O14" s="118"/>
      <c r="P14" s="118"/>
      <c r="Q14" s="120">
        <v>0.503</v>
      </c>
      <c r="R14" s="116" t="s">
        <v>28</v>
      </c>
      <c r="S14" s="236">
        <v>0.78500000000000003</v>
      </c>
      <c r="U14" s="5" t="s">
        <v>222</v>
      </c>
      <c r="V14" s="411">
        <f>(F16+F15)/(F13+F15)</f>
        <v>0.60979264381092113</v>
      </c>
      <c r="W14" s="412">
        <f>($Z$31+$Z$32*F18)/(1+$Z$33*F18+$Z$34*F18^2)</f>
        <v>0.58679960269227682</v>
      </c>
      <c r="Y14" s="417" t="s">
        <v>208</v>
      </c>
      <c r="Z14" s="415"/>
      <c r="AA14" s="415"/>
      <c r="AB14" s="416"/>
    </row>
    <row r="15" spans="2:28" s="5" customFormat="1">
      <c r="B15" s="33" t="s">
        <v>80</v>
      </c>
      <c r="C15" s="34"/>
      <c r="D15" s="34"/>
      <c r="E15" s="62" t="str">
        <f>CHOOSE(UNITS,"psia","bara")</f>
        <v>psia</v>
      </c>
      <c r="F15" s="384">
        <v>14.6959</v>
      </c>
      <c r="G15" s="300" t="s">
        <v>89</v>
      </c>
      <c r="H15" s="301"/>
      <c r="I15" s="27"/>
      <c r="J15" s="224" t="s">
        <v>139</v>
      </c>
      <c r="K15" s="225">
        <f>CHOOSE($J$4,0.068947573,1/0.068947573)</f>
        <v>6.8947572999999998E-2</v>
      </c>
      <c r="L15" s="225">
        <v>0</v>
      </c>
      <c r="M15" s="248">
        <f t="shared" si="0"/>
        <v>1.0132466380506999</v>
      </c>
      <c r="N15" s="234">
        <v>6</v>
      </c>
      <c r="O15" s="118"/>
      <c r="P15" s="118"/>
      <c r="Q15" s="120">
        <v>0.78500000000000003</v>
      </c>
      <c r="R15" s="116" t="s">
        <v>30</v>
      </c>
      <c r="S15" s="236">
        <v>1.2869999999999999</v>
      </c>
      <c r="U15" s="5" t="s">
        <v>99</v>
      </c>
      <c r="V15" s="410">
        <f>F18/(F18-1)</f>
        <v>12.111111111111102</v>
      </c>
      <c r="Y15" s="417" t="s">
        <v>209</v>
      </c>
      <c r="Z15" s="415"/>
      <c r="AA15" s="415"/>
      <c r="AB15" s="416"/>
    </row>
    <row r="16" spans="2:28" s="5" customFormat="1">
      <c r="B16" s="33" t="s">
        <v>93</v>
      </c>
      <c r="C16" s="34"/>
      <c r="D16" s="34"/>
      <c r="E16" s="61" t="str">
        <f>CHOOSE(UNITS,"psig","barg")</f>
        <v>psig</v>
      </c>
      <c r="F16" s="384">
        <v>40</v>
      </c>
      <c r="G16" s="300" t="s">
        <v>233</v>
      </c>
      <c r="H16" s="301"/>
      <c r="I16" s="27"/>
      <c r="J16" s="224" t="s">
        <v>139</v>
      </c>
      <c r="K16" s="225">
        <f>CHOOSE($J$4,0.068947573,1/0.068947573)</f>
        <v>6.8947572999999998E-2</v>
      </c>
      <c r="L16" s="225"/>
      <c r="M16" s="248">
        <f t="shared" si="0"/>
        <v>2.7579029199999998</v>
      </c>
      <c r="N16" s="234">
        <v>7</v>
      </c>
      <c r="O16" s="118"/>
      <c r="P16" s="118"/>
      <c r="Q16" s="120">
        <v>1.2869999999999999</v>
      </c>
      <c r="R16" s="116" t="s">
        <v>32</v>
      </c>
      <c r="S16" s="236">
        <v>1.8380000000000001</v>
      </c>
      <c r="T16" s="263"/>
      <c r="U16" s="5" t="s">
        <v>102</v>
      </c>
      <c r="V16" s="410">
        <f>1-V14</f>
        <v>0.39020735618907887</v>
      </c>
      <c r="W16" s="410"/>
      <c r="Y16" s="415" t="s">
        <v>210</v>
      </c>
      <c r="Z16" s="418">
        <v>-6.3614087000000004E-6</v>
      </c>
      <c r="AA16" s="415"/>
      <c r="AB16" s="416"/>
    </row>
    <row r="17" spans="2:28" s="5" customFormat="1">
      <c r="B17" s="39" t="s">
        <v>7</v>
      </c>
      <c r="C17" s="34"/>
      <c r="D17" s="34"/>
      <c r="E17" s="61" t="str">
        <f>CHOOSE(UNITS,"F","C")</f>
        <v>F</v>
      </c>
      <c r="F17" s="299">
        <v>167</v>
      </c>
      <c r="G17" s="302"/>
      <c r="H17" s="301"/>
      <c r="J17" s="224" t="s">
        <v>138</v>
      </c>
      <c r="K17" s="222">
        <f>CHOOSE($J$4,1/1.8,1.8)</f>
        <v>0.55555555555555558</v>
      </c>
      <c r="L17" s="225">
        <f>CHOOSE($J$4,-17.7777777777777,32)</f>
        <v>-17.7777777777777</v>
      </c>
      <c r="M17" s="248">
        <f t="shared" si="0"/>
        <v>75.000000000000085</v>
      </c>
      <c r="N17" s="234">
        <v>8</v>
      </c>
      <c r="O17" s="118"/>
      <c r="P17" s="118"/>
      <c r="Q17" s="120">
        <v>1.8380000000000001</v>
      </c>
      <c r="R17" s="116" t="s">
        <v>21</v>
      </c>
      <c r="S17" s="236">
        <v>2.8530000000000002</v>
      </c>
      <c r="U17" s="5" t="s">
        <v>216</v>
      </c>
      <c r="V17" s="410">
        <f>V15*V14^(2/F18)*((1-V14^(1/V15))/V16)</f>
        <v>0.50117680304884271</v>
      </c>
      <c r="W17" s="410"/>
      <c r="Y17" s="415" t="s">
        <v>211</v>
      </c>
      <c r="Z17" s="415">
        <v>2.8934538999999999</v>
      </c>
      <c r="AA17" s="415"/>
      <c r="AB17" s="416"/>
    </row>
    <row r="18" spans="2:28" s="5" customFormat="1">
      <c r="B18" s="37" t="s">
        <v>8</v>
      </c>
      <c r="C18" s="19"/>
      <c r="D18" s="19"/>
      <c r="E18" s="19" t="s">
        <v>0</v>
      </c>
      <c r="F18" s="298">
        <v>1.0900000000000001</v>
      </c>
      <c r="G18" s="302"/>
      <c r="H18" s="301"/>
      <c r="J18" s="224"/>
      <c r="K18" s="222"/>
      <c r="L18" s="225"/>
      <c r="M18" s="226">
        <f>F24*K18+L18</f>
        <v>0</v>
      </c>
      <c r="N18" s="234">
        <v>9</v>
      </c>
      <c r="O18" s="118"/>
      <c r="P18" s="118"/>
      <c r="Q18" s="120">
        <v>2.8530000000000002</v>
      </c>
      <c r="R18" s="116" t="s">
        <v>23</v>
      </c>
      <c r="S18" s="236">
        <v>3.6</v>
      </c>
      <c r="U18" s="406" t="s">
        <v>217</v>
      </c>
      <c r="V18" s="410">
        <f>SQRT(V17)</f>
        <v>0.70793841755398657</v>
      </c>
      <c r="W18" s="410"/>
      <c r="Y18" s="415" t="s">
        <v>212</v>
      </c>
      <c r="Z18" s="415">
        <v>-4.3098540999999999</v>
      </c>
      <c r="AA18" s="415"/>
      <c r="AB18" s="416"/>
    </row>
    <row r="19" spans="2:28">
      <c r="B19" s="35" t="s">
        <v>9</v>
      </c>
      <c r="C19" s="19"/>
      <c r="D19" s="19"/>
      <c r="E19" s="19" t="s">
        <v>0</v>
      </c>
      <c r="F19" s="298">
        <v>0.84</v>
      </c>
      <c r="G19" s="302"/>
      <c r="H19" s="301"/>
      <c r="J19" s="221" t="s">
        <v>0</v>
      </c>
      <c r="K19" s="222">
        <v>1</v>
      </c>
      <c r="L19" s="222"/>
      <c r="M19" s="226">
        <f>F18*K19+L19</f>
        <v>1.0900000000000001</v>
      </c>
      <c r="N19" s="234">
        <v>10</v>
      </c>
      <c r="O19" s="118"/>
      <c r="P19" s="118"/>
      <c r="Q19" s="120">
        <v>3.6</v>
      </c>
      <c r="R19" s="116" t="s">
        <v>25</v>
      </c>
      <c r="S19" s="236">
        <v>4.34</v>
      </c>
      <c r="V19" s="404">
        <f>735*V18/F38</f>
        <v>1.5987414188583657</v>
      </c>
      <c r="W19" s="404"/>
      <c r="Y19" s="415" t="s">
        <v>213</v>
      </c>
      <c r="Z19" s="415">
        <v>12.934358</v>
      </c>
      <c r="AA19" s="415"/>
      <c r="AB19" s="415"/>
    </row>
    <row r="20" spans="2:28" ht="15.75">
      <c r="B20" s="35" t="s">
        <v>82</v>
      </c>
      <c r="C20" s="19"/>
      <c r="D20" s="19"/>
      <c r="E20" s="19" t="s">
        <v>0</v>
      </c>
      <c r="F20" s="298">
        <v>0.97499999999999998</v>
      </c>
      <c r="G20" s="304" t="s">
        <v>215</v>
      </c>
      <c r="H20" s="301"/>
      <c r="J20" s="221" t="s">
        <v>0</v>
      </c>
      <c r="K20" s="222">
        <v>1</v>
      </c>
      <c r="L20" s="222"/>
      <c r="M20" s="226">
        <f>F19*K20+L20</f>
        <v>0.84</v>
      </c>
      <c r="N20" s="234">
        <v>11</v>
      </c>
      <c r="O20" s="118"/>
      <c r="P20" s="118"/>
      <c r="Q20" s="120">
        <v>4.34</v>
      </c>
      <c r="R20" s="116" t="s">
        <v>27</v>
      </c>
      <c r="S20" s="236">
        <v>6.3789999999999996</v>
      </c>
      <c r="V20" s="404">
        <f>V19*SQRT(V16)</f>
        <v>0.99867908036535236</v>
      </c>
      <c r="W20" s="404">
        <v>5.3176120748199595E-4</v>
      </c>
      <c r="Y20" s="414">
        <v>0.16</v>
      </c>
      <c r="Z20" s="415"/>
      <c r="AA20" s="415"/>
      <c r="AB20" s="415"/>
    </row>
    <row r="21" spans="2:28" ht="15.75">
      <c r="B21" s="35" t="s">
        <v>81</v>
      </c>
      <c r="C21" s="19"/>
      <c r="D21" s="19"/>
      <c r="E21" s="19" t="s">
        <v>0</v>
      </c>
      <c r="F21" s="298">
        <v>1</v>
      </c>
      <c r="G21" s="403" t="s">
        <v>226</v>
      </c>
      <c r="H21" s="335"/>
      <c r="J21" s="221" t="s">
        <v>0</v>
      </c>
      <c r="K21" s="222">
        <v>1</v>
      </c>
      <c r="L21" s="222"/>
      <c r="M21" s="226">
        <f>F20*K21+L21</f>
        <v>0.97499999999999998</v>
      </c>
      <c r="N21" s="234">
        <v>12</v>
      </c>
      <c r="O21" s="118"/>
      <c r="P21" s="118"/>
      <c r="Q21" s="120">
        <v>6.3789999999999996</v>
      </c>
      <c r="R21" s="116" t="s">
        <v>29</v>
      </c>
      <c r="S21" s="236">
        <v>11.045</v>
      </c>
      <c r="U21" s="7" t="s">
        <v>207</v>
      </c>
      <c r="V21" s="409">
        <f>IF(V14&lt;W14,1,V20+W20)</f>
        <v>0.99921084157283435</v>
      </c>
      <c r="Y21" s="415" t="s">
        <v>208</v>
      </c>
      <c r="Z21" s="415"/>
      <c r="AA21" s="415"/>
      <c r="AB21" s="415"/>
    </row>
    <row r="22" spans="2:28" ht="15.75">
      <c r="B22" s="35" t="s">
        <v>36</v>
      </c>
      <c r="C22" s="19"/>
      <c r="D22" s="19"/>
      <c r="E22" s="19" t="s">
        <v>0</v>
      </c>
      <c r="F22" s="298">
        <v>1</v>
      </c>
      <c r="G22" s="305"/>
      <c r="H22" s="301"/>
      <c r="J22" s="221" t="s">
        <v>0</v>
      </c>
      <c r="K22" s="222">
        <v>1</v>
      </c>
      <c r="L22" s="222"/>
      <c r="M22" s="226">
        <f>F21*K22+L22</f>
        <v>1</v>
      </c>
      <c r="N22" s="234">
        <v>13</v>
      </c>
      <c r="O22" s="118"/>
      <c r="P22" s="118"/>
      <c r="Q22" s="120">
        <v>11.045</v>
      </c>
      <c r="R22" s="116" t="s">
        <v>31</v>
      </c>
      <c r="S22" s="236">
        <v>16</v>
      </c>
      <c r="Y22" s="415" t="s">
        <v>209</v>
      </c>
      <c r="Z22" s="415"/>
      <c r="AA22" s="415"/>
      <c r="AB22" s="415"/>
    </row>
    <row r="23" spans="2:28" ht="15.75">
      <c r="B23" s="35" t="s">
        <v>160</v>
      </c>
      <c r="C23" s="19"/>
      <c r="D23" s="19"/>
      <c r="E23" s="61" t="str">
        <f>CHOOSE(UNITS,"US Cust","SI units")</f>
        <v>US Cust</v>
      </c>
      <c r="F23" s="245">
        <f>CHOOSE(UNITS,1,131.6)</f>
        <v>1</v>
      </c>
      <c r="G23" s="305"/>
      <c r="H23" s="301"/>
      <c r="J23" s="221" t="s">
        <v>0</v>
      </c>
      <c r="K23" s="222">
        <v>1</v>
      </c>
      <c r="L23" s="222"/>
      <c r="M23" s="226">
        <f>F22*K23+L23</f>
        <v>1</v>
      </c>
      <c r="N23" s="234">
        <v>14</v>
      </c>
      <c r="O23" s="118"/>
      <c r="P23" s="118"/>
      <c r="Q23" s="120">
        <v>16</v>
      </c>
      <c r="R23" s="117" t="s">
        <v>33</v>
      </c>
      <c r="S23" s="236">
        <v>26</v>
      </c>
      <c r="U23" s="7" t="s">
        <v>225</v>
      </c>
      <c r="Y23" s="415" t="s">
        <v>210</v>
      </c>
      <c r="Z23" s="418">
        <v>4.0102182000000001E-9</v>
      </c>
      <c r="AA23" s="415"/>
      <c r="AB23" s="415"/>
    </row>
    <row r="24" spans="2:28" ht="16.5" thickBot="1">
      <c r="B24" s="130" t="s">
        <v>141</v>
      </c>
      <c r="C24" s="34"/>
      <c r="D24" s="34"/>
      <c r="E24" s="61" t="str">
        <f>CHOOSE(UNITS,"F-&gt;R","C-&gt;K")</f>
        <v>F-&gt;R</v>
      </c>
      <c r="F24" s="207">
        <f>CHOOSE(UNITS,459.67,273.15)</f>
        <v>459.67</v>
      </c>
      <c r="G24" s="302"/>
      <c r="H24" s="301"/>
      <c r="J24" s="227" t="s">
        <v>137</v>
      </c>
      <c r="K24" s="228">
        <f>CHOOSE($J$4,25.4^2,1/(25.4^2))</f>
        <v>645.16</v>
      </c>
      <c r="L24" s="228"/>
      <c r="M24" s="229"/>
      <c r="N24" s="237"/>
      <c r="O24" s="238"/>
      <c r="P24" s="238"/>
      <c r="Q24" s="239">
        <v>26</v>
      </c>
      <c r="R24" s="238" t="s">
        <v>40</v>
      </c>
      <c r="S24" s="240"/>
      <c r="U24" s="7" t="s">
        <v>221</v>
      </c>
      <c r="V24" s="412">
        <f>F16/F13</f>
        <v>0.53333333333333333</v>
      </c>
      <c r="Y24" s="415" t="s">
        <v>211</v>
      </c>
      <c r="Z24" s="415">
        <v>36.617888999999998</v>
      </c>
      <c r="AA24" s="415"/>
      <c r="AB24" s="415"/>
    </row>
    <row r="25" spans="2:28">
      <c r="B25" s="255"/>
      <c r="G25" s="306"/>
      <c r="H25" s="307"/>
      <c r="L25" s="7">
        <v>0</v>
      </c>
      <c r="U25" s="404" t="s">
        <v>219</v>
      </c>
      <c r="V25" s="409">
        <f>AB34*IF(V24&lt;0.29,1,($Z$16+$Z$17*V24)/(1+$Z$18*V24+$Z$19*V24^2))</f>
        <v>0.64824942574210576</v>
      </c>
      <c r="W25" s="7" t="s">
        <v>220</v>
      </c>
      <c r="Y25" s="415" t="s">
        <v>212</v>
      </c>
      <c r="Z25" s="415">
        <v>20.532222999999998</v>
      </c>
      <c r="AA25" s="415"/>
      <c r="AB25" s="415"/>
    </row>
    <row r="26" spans="2:28">
      <c r="B26" s="44" t="s">
        <v>87</v>
      </c>
      <c r="C26" s="19"/>
      <c r="D26" s="19"/>
      <c r="E26" s="19"/>
      <c r="F26" s="127"/>
      <c r="G26" s="305"/>
      <c r="H26" s="301"/>
      <c r="U26" s="404" t="s">
        <v>227</v>
      </c>
      <c r="V26" s="409">
        <f>AB34*IF(V24&lt;0.375,1,($Z$23+$Z$24*V24)/(1+$Z$25*V24+$Z$26*V24^2))</f>
        <v>0.88299309506500012</v>
      </c>
      <c r="W26" s="7" t="s">
        <v>230</v>
      </c>
      <c r="Y26" s="415" t="s">
        <v>213</v>
      </c>
      <c r="Z26" s="415">
        <v>35.743057999999998</v>
      </c>
      <c r="AA26" s="415"/>
      <c r="AB26" s="415"/>
    </row>
    <row r="27" spans="2:28" ht="16.5" customHeight="1">
      <c r="B27" s="44"/>
      <c r="C27" s="19"/>
      <c r="D27" s="19" t="s">
        <v>79</v>
      </c>
      <c r="E27" s="19"/>
      <c r="F27" s="127"/>
      <c r="G27" s="305"/>
      <c r="H27" s="301"/>
      <c r="U27" s="404" t="s">
        <v>228</v>
      </c>
      <c r="V27" s="409">
        <f>AB34*1</f>
        <v>1</v>
      </c>
      <c r="W27" s="7" t="s">
        <v>229</v>
      </c>
      <c r="Y27" s="415"/>
      <c r="Z27" s="415"/>
      <c r="AA27" s="415"/>
      <c r="AB27" s="415"/>
    </row>
    <row r="28" spans="2:28">
      <c r="B28" s="39" t="s">
        <v>6</v>
      </c>
      <c r="C28" s="34"/>
      <c r="D28" s="34"/>
      <c r="E28" s="62" t="str">
        <f>CHOOSE(UNITS,"psia","bara")</f>
        <v>psia</v>
      </c>
      <c r="F28" s="125">
        <f>F13*(1+F14)+F15</f>
        <v>97.195899999999995</v>
      </c>
      <c r="G28" s="308">
        <f>+F28*14.5</f>
        <v>1409.3405499999999</v>
      </c>
      <c r="H28" s="303"/>
      <c r="K28" s="254">
        <f>1/25.4^2</f>
        <v>1.5500031000062E-3</v>
      </c>
      <c r="Y28" s="415" t="s">
        <v>214</v>
      </c>
      <c r="Z28" s="415"/>
      <c r="AA28" s="415"/>
      <c r="AB28" s="415"/>
    </row>
    <row r="29" spans="2:28">
      <c r="B29" s="39"/>
      <c r="C29" s="34"/>
      <c r="D29" s="34"/>
      <c r="E29" s="62"/>
      <c r="F29" s="125"/>
      <c r="G29" s="308"/>
      <c r="H29" s="303"/>
      <c r="K29" s="7">
        <f>25.4^2</f>
        <v>645.16</v>
      </c>
      <c r="Y29" s="415" t="s">
        <v>208</v>
      </c>
      <c r="Z29" s="415"/>
      <c r="AA29" s="415"/>
      <c r="AB29" s="415"/>
    </row>
    <row r="30" spans="2:28">
      <c r="B30" s="129" t="s">
        <v>94</v>
      </c>
      <c r="C30" s="34"/>
      <c r="D30" s="34"/>
      <c r="E30" s="62"/>
      <c r="F30" s="125"/>
      <c r="G30" s="308"/>
      <c r="H30" s="303"/>
      <c r="Y30" s="415" t="s">
        <v>209</v>
      </c>
      <c r="Z30" s="415"/>
      <c r="AA30" s="415"/>
      <c r="AB30" s="415"/>
    </row>
    <row r="31" spans="2:28" ht="16.5">
      <c r="B31" s="39"/>
      <c r="C31" s="34"/>
      <c r="D31" s="128" t="s">
        <v>95</v>
      </c>
      <c r="E31" s="62"/>
      <c r="F31" s="125"/>
      <c r="G31" s="308"/>
      <c r="H31" s="303"/>
      <c r="Y31" s="415" t="s">
        <v>210</v>
      </c>
      <c r="Z31" s="415">
        <v>0.98903110000000005</v>
      </c>
      <c r="AA31" s="415"/>
      <c r="AB31" s="415"/>
    </row>
    <row r="32" spans="2:28">
      <c r="B32" s="130" t="s">
        <v>96</v>
      </c>
      <c r="C32" s="34"/>
      <c r="D32" s="34"/>
      <c r="E32" s="62" t="str">
        <f>CHOOSE(UNITS,"psia","bara")</f>
        <v>psia</v>
      </c>
      <c r="F32" s="125">
        <f>F28*(2/(F18+1))^(F18/(F18-1))</f>
        <v>57.033290400318783</v>
      </c>
      <c r="G32" s="308"/>
      <c r="H32" s="303"/>
      <c r="Y32" s="415" t="s">
        <v>211</v>
      </c>
      <c r="Z32" s="415">
        <v>0.12680632</v>
      </c>
      <c r="AA32" s="415"/>
      <c r="AB32" s="415"/>
    </row>
    <row r="33" spans="2:28">
      <c r="B33" s="130" t="s">
        <v>148</v>
      </c>
      <c r="C33" s="34"/>
      <c r="D33" s="34"/>
      <c r="E33" s="62" t="str">
        <f>CHOOSE(UNITS,"psia","bara")</f>
        <v>psia</v>
      </c>
      <c r="F33" s="125">
        <f>F16+F15</f>
        <v>54.695900000000002</v>
      </c>
      <c r="G33" s="308"/>
      <c r="H33" s="303"/>
      <c r="Y33" s="415" t="s">
        <v>212</v>
      </c>
      <c r="Z33" s="415">
        <v>0.78156751000000002</v>
      </c>
      <c r="AA33" s="415"/>
      <c r="AB33" s="415"/>
    </row>
    <row r="34" spans="2:28">
      <c r="B34" s="130" t="s">
        <v>149</v>
      </c>
      <c r="C34" s="34"/>
      <c r="D34" s="34"/>
      <c r="E34" s="62"/>
      <c r="F34" s="176" t="str">
        <f>IF((F16+F15)&lt;=F32,"TRUE!","FALSE!")</f>
        <v>TRUE!</v>
      </c>
      <c r="G34" s="309">
        <f>IF(F34="FALSE!",0,1)</f>
        <v>1</v>
      </c>
      <c r="H34" s="303"/>
      <c r="Y34" s="415" t="s">
        <v>213</v>
      </c>
      <c r="Z34" s="415">
        <v>5.8164266999999999E-2</v>
      </c>
      <c r="AA34" s="415"/>
      <c r="AB34" s="419">
        <f>IF(F34="TRUE!",1,0)</f>
        <v>1</v>
      </c>
    </row>
    <row r="35" spans="2:28" ht="17.25" customHeight="1">
      <c r="B35" s="179" t="s">
        <v>107</v>
      </c>
      <c r="C35" s="34"/>
      <c r="D35" s="34"/>
      <c r="E35" s="62"/>
      <c r="F35" s="125"/>
      <c r="G35" s="308"/>
      <c r="H35" s="303"/>
    </row>
    <row r="36" spans="2:28">
      <c r="B36" s="44" t="s">
        <v>130</v>
      </c>
      <c r="C36" s="34"/>
      <c r="D36" s="34"/>
      <c r="E36" s="62"/>
      <c r="F36" s="125"/>
      <c r="G36" s="308"/>
      <c r="H36" s="303"/>
    </row>
    <row r="37" spans="2:28" ht="18" customHeight="1">
      <c r="B37" s="39"/>
      <c r="C37" s="34"/>
      <c r="D37" s="128" t="s">
        <v>232</v>
      </c>
      <c r="E37" s="62"/>
      <c r="F37" s="125"/>
      <c r="G37" s="310" t="s">
        <v>88</v>
      </c>
      <c r="H37" s="303"/>
    </row>
    <row r="38" spans="2:28">
      <c r="B38" s="37" t="s">
        <v>131</v>
      </c>
      <c r="C38" s="19"/>
      <c r="D38" s="19"/>
      <c r="E38" s="19" t="s">
        <v>0</v>
      </c>
      <c r="F38" s="136">
        <f>519.7*((((2/(F18+1))^((F18+1)/(F18-1)))*F18)^0.5)</f>
        <v>325.46522581102727</v>
      </c>
      <c r="G38" s="305"/>
      <c r="H38" s="301"/>
    </row>
    <row r="39" spans="2:28">
      <c r="B39" s="37"/>
      <c r="C39" s="19"/>
      <c r="D39" s="19"/>
      <c r="E39" s="19"/>
      <c r="F39" s="126"/>
      <c r="G39" s="305"/>
      <c r="H39" s="301"/>
    </row>
    <row r="40" spans="2:28" ht="14.25">
      <c r="B40" s="44" t="s">
        <v>151</v>
      </c>
      <c r="C40" s="19"/>
      <c r="D40" s="19"/>
      <c r="E40" s="19"/>
      <c r="F40" s="45"/>
      <c r="G40" s="311"/>
      <c r="H40" s="301"/>
    </row>
    <row r="41" spans="2:28" ht="15.75">
      <c r="B41" s="46"/>
      <c r="C41" s="45" t="s">
        <v>145</v>
      </c>
      <c r="D41" s="11" t="s">
        <v>147</v>
      </c>
      <c r="E41" s="11"/>
      <c r="F41" s="28"/>
      <c r="G41" s="312" t="s">
        <v>74</v>
      </c>
      <c r="H41" s="301"/>
    </row>
    <row r="42" spans="2:28" ht="15.75">
      <c r="B42" s="35"/>
      <c r="C42" s="19"/>
      <c r="D42" s="47" t="s">
        <v>35</v>
      </c>
      <c r="E42" s="47"/>
      <c r="F42" s="45"/>
      <c r="G42" s="311"/>
      <c r="H42" s="307"/>
    </row>
    <row r="43" spans="2:28" ht="15.75">
      <c r="B43" s="35" t="s">
        <v>146</v>
      </c>
      <c r="C43" s="19"/>
      <c r="D43" s="47"/>
      <c r="E43" s="61" t="str">
        <f>CHOOSE(UNITS,"R","K")</f>
        <v>R</v>
      </c>
      <c r="F43" s="253">
        <f>F17+F24</f>
        <v>626.67000000000007</v>
      </c>
      <c r="G43" s="311"/>
      <c r="H43" s="307"/>
    </row>
    <row r="44" spans="2:28" s="3" customFormat="1" ht="15.75">
      <c r="B44" s="48" t="s">
        <v>150</v>
      </c>
      <c r="E44" s="132" t="str">
        <f>CHOOSE(UNITS,"in²","mm²")</f>
        <v>in²</v>
      </c>
      <c r="F44" s="268">
        <f>F23*G34*F11*SQRT((F43)*F19/F12)/F28/F38/F20/F21/F22</f>
        <v>4.9362715693483725</v>
      </c>
      <c r="G44" s="313"/>
      <c r="H44" s="314"/>
    </row>
    <row r="45" spans="2:28" s="15" customFormat="1">
      <c r="B45" s="50"/>
      <c r="C45" s="12"/>
      <c r="D45" s="13"/>
      <c r="G45" s="315"/>
      <c r="H45" s="316"/>
    </row>
    <row r="46" spans="2:28" s="15" customFormat="1">
      <c r="B46" s="129" t="s">
        <v>86</v>
      </c>
      <c r="E46" s="51"/>
      <c r="F46" s="51"/>
      <c r="G46" s="315"/>
      <c r="H46" s="316"/>
    </row>
    <row r="47" spans="2:28" s="15" customFormat="1" ht="15.75">
      <c r="B47" s="52"/>
      <c r="C47" s="53" t="s">
        <v>10</v>
      </c>
      <c r="D47" s="115" t="s">
        <v>85</v>
      </c>
      <c r="E47" s="51"/>
      <c r="F47" s="51"/>
      <c r="G47" s="315"/>
      <c r="H47" s="316"/>
    </row>
    <row r="48" spans="2:28" s="15" customFormat="1">
      <c r="B48" s="52"/>
      <c r="C48" s="53"/>
      <c r="E48" s="15" t="str">
        <f>CHOOSE(UNITS,"in","mm")</f>
        <v>in</v>
      </c>
      <c r="F48" s="249">
        <f>SQRT(F44*4/PI())</f>
        <v>2.5070014291272851</v>
      </c>
      <c r="G48" s="317"/>
      <c r="H48" s="316"/>
    </row>
    <row r="49" spans="2:23" s="15" customFormat="1">
      <c r="B49" s="44" t="s">
        <v>192</v>
      </c>
      <c r="C49" s="53"/>
      <c r="F49" s="249"/>
      <c r="G49" s="317"/>
      <c r="H49" s="316"/>
    </row>
    <row r="50" spans="2:23" s="15" customFormat="1">
      <c r="B50" s="399" t="s">
        <v>191</v>
      </c>
      <c r="F50" s="398">
        <v>1</v>
      </c>
      <c r="G50" s="400" t="s">
        <v>195</v>
      </c>
      <c r="H50" s="316"/>
      <c r="U50" s="7"/>
      <c r="V50" s="7"/>
      <c r="W50" s="7"/>
    </row>
    <row r="51" spans="2:23" s="15" customFormat="1">
      <c r="B51" s="35" t="s">
        <v>235</v>
      </c>
      <c r="C51" s="53"/>
      <c r="F51" s="181" t="str">
        <f>CHOOSE($J$4,VLOOKUP(M4,orifices,2,TRUE),VLOOKUP(0.0015500031*F44/F50,orifices,2,TRUE))</f>
        <v>4 P 6</v>
      </c>
      <c r="G51" s="318"/>
      <c r="H51" s="316"/>
    </row>
    <row r="52" spans="2:23" s="17" customFormat="1" ht="15.75">
      <c r="B52" s="35" t="s">
        <v>110</v>
      </c>
      <c r="E52" s="132" t="str">
        <f>CHOOSE(UNITS,"in²","mm²")</f>
        <v>in²</v>
      </c>
      <c r="F52" s="260">
        <f>F50*CHOOSE(UNITS,1,645.16)*VLOOKUP(F51,orificesize,2,FALSE)</f>
        <v>6.3789999999999996</v>
      </c>
      <c r="G52" s="313"/>
      <c r="H52" s="314"/>
    </row>
    <row r="53" spans="2:23" s="17" customFormat="1">
      <c r="B53" s="134"/>
      <c r="C53" s="133"/>
      <c r="D53" s="131" t="s">
        <v>234</v>
      </c>
      <c r="E53" s="132" t="str">
        <f>CHOOSE(UNITS,"in²","mm²")</f>
        <v>in²</v>
      </c>
      <c r="F53" s="422">
        <v>5</v>
      </c>
      <c r="G53" s="421" t="str">
        <f>IF((F53*F50)&lt;F44,"LESS THAN REQUIRED AREA!","")</f>
        <v/>
      </c>
      <c r="H53" s="319"/>
    </row>
    <row r="54" spans="2:23" s="17" customFormat="1" ht="14.25">
      <c r="B54" s="129" t="s">
        <v>83</v>
      </c>
      <c r="C54" s="18"/>
      <c r="D54" s="18"/>
      <c r="E54" s="18"/>
      <c r="F54" s="40"/>
      <c r="G54" s="302"/>
      <c r="H54" s="319"/>
    </row>
    <row r="55" spans="2:23" s="17" customFormat="1">
      <c r="B55" s="135" t="s">
        <v>12</v>
      </c>
      <c r="E55" s="61" t="str">
        <f>CHOOSE(UNITS,"lb/h","kg/h")</f>
        <v>lb/h</v>
      </c>
      <c r="F55" s="269">
        <f>IF(ISBLANK(F53),F52/F44*F11,F53/F44*F11)</f>
        <v>54190.697623087246</v>
      </c>
      <c r="G55" s="320"/>
      <c r="H55" s="319"/>
    </row>
    <row r="56" spans="2:23" s="17" customFormat="1">
      <c r="B56" s="54"/>
      <c r="C56" s="18"/>
      <c r="D56" s="18"/>
      <c r="E56" s="18"/>
      <c r="F56" s="182"/>
      <c r="G56" s="320"/>
      <c r="H56" s="319"/>
    </row>
    <row r="57" spans="2:23" s="17" customFormat="1">
      <c r="B57" s="137"/>
      <c r="C57" s="18"/>
      <c r="D57" s="18"/>
      <c r="E57" s="18"/>
      <c r="F57" s="114"/>
      <c r="G57" s="302"/>
      <c r="H57" s="319"/>
    </row>
    <row r="58" spans="2:23">
      <c r="B58" s="44" t="s">
        <v>14</v>
      </c>
      <c r="C58" s="19"/>
      <c r="D58" s="19"/>
      <c r="E58" s="19"/>
      <c r="F58" s="20"/>
      <c r="G58" s="311"/>
      <c r="H58" s="307"/>
    </row>
    <row r="59" spans="2:23">
      <c r="B59" s="138"/>
      <c r="C59" s="12"/>
      <c r="D59" s="402"/>
      <c r="E59" s="19"/>
      <c r="F59" s="19"/>
      <c r="G59" s="311"/>
      <c r="H59" s="301"/>
    </row>
    <row r="60" spans="2:23">
      <c r="B60" s="138" t="s">
        <v>15</v>
      </c>
      <c r="C60" s="19"/>
      <c r="D60" s="19"/>
      <c r="E60" s="19"/>
      <c r="F60" s="19"/>
      <c r="G60" s="311"/>
      <c r="H60" s="307"/>
    </row>
    <row r="61" spans="2:23" ht="13.5" thickBot="1">
      <c r="B61" s="35" t="s">
        <v>73</v>
      </c>
      <c r="C61" s="19"/>
      <c r="D61" s="19"/>
      <c r="E61" s="19"/>
      <c r="F61" s="19"/>
      <c r="G61" s="311"/>
      <c r="H61" s="307"/>
    </row>
    <row r="62" spans="2:23">
      <c r="B62" s="55"/>
      <c r="C62" s="270" t="s">
        <v>18</v>
      </c>
      <c r="D62" s="271" t="s">
        <v>19</v>
      </c>
      <c r="E62" s="272" t="s">
        <v>19</v>
      </c>
      <c r="F62" s="273" t="s">
        <v>18</v>
      </c>
      <c r="G62" s="273" t="s">
        <v>19</v>
      </c>
      <c r="H62" s="287" t="s">
        <v>19</v>
      </c>
    </row>
    <row r="63" spans="2:23" ht="14.25">
      <c r="B63" s="35"/>
      <c r="C63" s="274"/>
      <c r="D63" s="275" t="s">
        <v>34</v>
      </c>
      <c r="E63" s="276" t="s">
        <v>202</v>
      </c>
      <c r="F63" s="277"/>
      <c r="G63" s="278" t="s">
        <v>34</v>
      </c>
      <c r="H63" s="288" t="s">
        <v>158</v>
      </c>
    </row>
    <row r="64" spans="2:23">
      <c r="B64" s="35"/>
      <c r="C64" s="279" t="str">
        <f t="shared" ref="C64:C70" si="1">INDEX(orificesize,N10,1)</f>
        <v>1 D 2</v>
      </c>
      <c r="D64" s="280">
        <f t="shared" ref="D64:D70" si="2">INDEX(orificesize,N10,2)</f>
        <v>0.11</v>
      </c>
      <c r="E64" s="276">
        <v>71</v>
      </c>
      <c r="F64" s="281" t="str">
        <f t="shared" ref="F64:F70" si="3">INDEX(orificesize,$N17,1)</f>
        <v>4 L 6</v>
      </c>
      <c r="G64" s="282">
        <f t="shared" ref="G64:G70" si="4">INDEX(orificesize,$N17,2)</f>
        <v>2.8530000000000002</v>
      </c>
      <c r="H64" s="288">
        <v>1841</v>
      </c>
    </row>
    <row r="65" spans="2:8">
      <c r="B65" s="35"/>
      <c r="C65" s="279" t="str">
        <f t="shared" si="1"/>
        <v>1 E 2</v>
      </c>
      <c r="D65" s="280">
        <f t="shared" si="2"/>
        <v>0.19600000000000001</v>
      </c>
      <c r="E65" s="276">
        <v>125</v>
      </c>
      <c r="F65" s="281" t="str">
        <f t="shared" si="3"/>
        <v>4 M 6</v>
      </c>
      <c r="G65" s="282">
        <f t="shared" si="4"/>
        <v>3.6</v>
      </c>
      <c r="H65" s="288">
        <v>2323</v>
      </c>
    </row>
    <row r="66" spans="2:8">
      <c r="B66" s="35"/>
      <c r="C66" s="279" t="str">
        <f t="shared" si="1"/>
        <v>1.5 F 2</v>
      </c>
      <c r="D66" s="280">
        <f t="shared" si="2"/>
        <v>0.307</v>
      </c>
      <c r="E66" s="276">
        <v>198</v>
      </c>
      <c r="F66" s="281" t="str">
        <f t="shared" si="3"/>
        <v>4 N 6</v>
      </c>
      <c r="G66" s="282">
        <f t="shared" si="4"/>
        <v>4.34</v>
      </c>
      <c r="H66" s="288">
        <v>2800</v>
      </c>
    </row>
    <row r="67" spans="2:8">
      <c r="B67" s="35"/>
      <c r="C67" s="279" t="str">
        <f t="shared" si="1"/>
        <v>2 G 3</v>
      </c>
      <c r="D67" s="280">
        <f t="shared" si="2"/>
        <v>0.503</v>
      </c>
      <c r="E67" s="276">
        <v>325</v>
      </c>
      <c r="F67" s="281" t="str">
        <f t="shared" si="3"/>
        <v>4 P 6</v>
      </c>
      <c r="G67" s="282">
        <f t="shared" si="4"/>
        <v>6.3789999999999996</v>
      </c>
      <c r="H67" s="288">
        <v>4116</v>
      </c>
    </row>
    <row r="68" spans="2:8">
      <c r="B68" s="35"/>
      <c r="C68" s="279" t="str">
        <f t="shared" si="1"/>
        <v>2 H 3</v>
      </c>
      <c r="D68" s="280">
        <f t="shared" si="2"/>
        <v>0.78500000000000003</v>
      </c>
      <c r="E68" s="276">
        <v>506</v>
      </c>
      <c r="F68" s="281" t="str">
        <f t="shared" si="3"/>
        <v>6 Q 8</v>
      </c>
      <c r="G68" s="282">
        <f t="shared" si="4"/>
        <v>11.045</v>
      </c>
      <c r="H68" s="288">
        <v>7129</v>
      </c>
    </row>
    <row r="69" spans="2:8">
      <c r="B69" s="35"/>
      <c r="C69" s="291" t="str">
        <f t="shared" si="1"/>
        <v>3 J 4</v>
      </c>
      <c r="D69" s="283">
        <f t="shared" si="2"/>
        <v>1.2869999999999999</v>
      </c>
      <c r="E69" s="284">
        <v>830</v>
      </c>
      <c r="F69" s="285" t="str">
        <f t="shared" si="3"/>
        <v>6 R 10</v>
      </c>
      <c r="G69" s="286">
        <f t="shared" si="4"/>
        <v>16</v>
      </c>
      <c r="H69" s="292">
        <v>10323</v>
      </c>
    </row>
    <row r="70" spans="2:8" ht="13.5" thickBot="1">
      <c r="B70" s="35"/>
      <c r="C70" s="289" t="str">
        <f t="shared" si="1"/>
        <v>3 K 6</v>
      </c>
      <c r="D70" s="293">
        <f t="shared" si="2"/>
        <v>1.8380000000000001</v>
      </c>
      <c r="E70" s="294">
        <v>1186</v>
      </c>
      <c r="F70" s="295" t="str">
        <f t="shared" si="3"/>
        <v>8 T 10</v>
      </c>
      <c r="G70" s="296">
        <f t="shared" si="4"/>
        <v>26</v>
      </c>
      <c r="H70" s="290">
        <v>16774</v>
      </c>
    </row>
    <row r="71" spans="2:8" ht="13.5" thickBot="1">
      <c r="B71" s="21"/>
      <c r="C71" s="261"/>
      <c r="D71" s="22"/>
      <c r="E71" s="262"/>
      <c r="F71" s="22"/>
      <c r="G71" s="22"/>
      <c r="H71" s="23"/>
    </row>
    <row r="72" spans="2:8">
      <c r="B72" s="24"/>
      <c r="C72" s="24"/>
      <c r="D72" s="25"/>
      <c r="E72" s="26"/>
      <c r="F72" s="26"/>
      <c r="G72" s="24"/>
      <c r="H72" s="24"/>
    </row>
  </sheetData>
  <mergeCells count="2">
    <mergeCell ref="D1:H1"/>
    <mergeCell ref="B1:C1"/>
  </mergeCells>
  <conditionalFormatting sqref="V24">
    <cfRule type="cellIs" dxfId="1" priority="1" stopIfTrue="1" operator="greaterThan">
      <formula>0.5</formula>
    </cfRule>
  </conditionalFormatting>
  <conditionalFormatting sqref="V14">
    <cfRule type="cellIs" dxfId="0" priority="2" stopIfTrue="1" operator="greaterThan">
      <formula>0.88</formula>
    </cfRule>
  </conditionalFormatting>
  <dataValidations count="4">
    <dataValidation type="decimal" operator="notEqual" allowBlank="1" showInputMessage="1" showErrorMessage="1" sqref="F18">
      <formula1>1</formula1>
    </dataValidation>
    <dataValidation type="decimal" operator="greaterThan" allowBlank="1" showInputMessage="1" showErrorMessage="1" sqref="F11 T11">
      <formula1>0.000000001</formula1>
    </dataValidation>
    <dataValidation type="list" allowBlank="1" showInputMessage="1" showErrorMessage="1" sqref="F14">
      <formula1>$M$6:$M$8</formula1>
    </dataValidation>
    <dataValidation type="list" allowBlank="1" showInputMessage="1" showErrorMessage="1" sqref="E7">
      <formula1>$U$3:$U$5</formula1>
    </dataValidation>
  </dataValidations>
  <printOptions verticalCentered="1"/>
  <pageMargins left="0.55118110236220474" right="0.23622047244094491" top="0.23622047244094491" bottom="0.47244094488188981" header="1.1000000000000001" footer="0.51181102362204722"/>
  <pageSetup paperSize="9" scale="77" orientation="portrait" horizontalDpi="300" verticalDpi="300" r:id="rId1"/>
  <headerFooter alignWithMargins="0">
    <oddHeader>&amp;C                                 &amp;R   &amp;P of &amp;N</oddHeader>
    <oddFooter>&amp;L&amp;F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B1:K196"/>
  <sheetViews>
    <sheetView showZeros="0" zoomScale="85" zoomScaleNormal="85" zoomScaleSheetLayoutView="75" workbookViewId="0">
      <selection activeCell="J35" sqref="J35"/>
    </sheetView>
  </sheetViews>
  <sheetFormatPr defaultRowHeight="12.75"/>
  <cols>
    <col min="1" max="1" width="5.7109375" style="3" customWidth="1"/>
    <col min="2" max="2" width="19.7109375" style="3" customWidth="1"/>
    <col min="3" max="3" width="20.7109375" style="3" customWidth="1"/>
    <col min="4" max="4" width="16.28515625" style="3" customWidth="1"/>
    <col min="5" max="5" width="11.140625" style="3" customWidth="1"/>
    <col min="6" max="6" width="13.85546875" style="3" customWidth="1"/>
    <col min="7" max="7" width="11.85546875" style="3" customWidth="1"/>
    <col min="8" max="8" width="14.42578125" style="3" customWidth="1"/>
    <col min="9" max="9" width="4.7109375" style="3" customWidth="1"/>
    <col min="10" max="10" width="16.42578125" style="3" customWidth="1"/>
    <col min="11" max="16384" width="9.140625" style="3"/>
  </cols>
  <sheetData>
    <row r="1" spans="2:8" ht="48" customHeight="1">
      <c r="B1" s="442" t="s">
        <v>165</v>
      </c>
      <c r="C1" s="443"/>
      <c r="D1" s="444"/>
      <c r="E1" s="444"/>
      <c r="F1" s="444"/>
      <c r="G1" s="444"/>
      <c r="H1" s="445"/>
    </row>
    <row r="2" spans="2:8" ht="12.75" customHeight="1">
      <c r="B2" s="16" t="s">
        <v>2</v>
      </c>
      <c r="C2" s="58"/>
      <c r="D2" s="452" t="s">
        <v>166</v>
      </c>
      <c r="E2" s="453"/>
      <c r="F2" s="446" t="s">
        <v>167</v>
      </c>
      <c r="G2" s="446"/>
      <c r="H2" s="447"/>
    </row>
    <row r="3" spans="2:8" ht="12.75" customHeight="1">
      <c r="B3" s="448"/>
      <c r="C3" s="449"/>
      <c r="D3" s="63" t="s">
        <v>39</v>
      </c>
      <c r="E3" s="60"/>
      <c r="F3" s="446" t="s">
        <v>38</v>
      </c>
      <c r="G3" s="446"/>
      <c r="H3" s="29" t="s">
        <v>1</v>
      </c>
    </row>
    <row r="4" spans="2:8" ht="32.25" customHeight="1">
      <c r="B4" s="450"/>
      <c r="C4" s="451"/>
      <c r="D4" s="64" t="s">
        <v>37</v>
      </c>
      <c r="E4" s="65"/>
      <c r="F4" s="446" t="s">
        <v>38</v>
      </c>
      <c r="G4" s="446"/>
      <c r="H4" s="29"/>
    </row>
    <row r="5" spans="2:8" ht="12.75" customHeight="1">
      <c r="B5" s="4"/>
      <c r="C5" s="1"/>
      <c r="D5" s="1"/>
      <c r="E5" s="1"/>
      <c r="F5" s="1"/>
      <c r="G5" s="1"/>
      <c r="H5" s="30"/>
    </row>
    <row r="6" spans="2:8">
      <c r="B6" s="31" t="s">
        <v>41</v>
      </c>
      <c r="C6" s="321">
        <f>'RV Selection(Crit flow)'!C7</f>
        <v>0</v>
      </c>
      <c r="D6" s="2"/>
      <c r="E6" s="2"/>
      <c r="F6" s="2"/>
      <c r="G6" s="2"/>
      <c r="H6" s="32"/>
    </row>
    <row r="7" spans="2:8">
      <c r="B7" s="44" t="s">
        <v>43</v>
      </c>
      <c r="C7" s="347">
        <f>'RV Selection(Crit flow)'!C8</f>
        <v>0</v>
      </c>
      <c r="D7" s="12"/>
      <c r="E7" s="12"/>
      <c r="F7" s="148"/>
      <c r="G7" s="12"/>
      <c r="H7" s="6"/>
    </row>
    <row r="8" spans="2:8">
      <c r="B8" s="50"/>
      <c r="C8" s="347">
        <f>'RV Selection(Crit flow)'!C9</f>
        <v>0</v>
      </c>
      <c r="D8" s="147"/>
      <c r="E8" s="250"/>
      <c r="F8" s="147"/>
      <c r="G8" s="147"/>
      <c r="H8" s="6"/>
    </row>
    <row r="9" spans="2:8">
      <c r="B9" s="50"/>
      <c r="C9" s="187"/>
      <c r="D9" s="187"/>
      <c r="E9" s="187" t="str">
        <f>CHOOSE('RV Selection(Crit flow)'!$J$4,"USCust","SI Units")</f>
        <v>USCust</v>
      </c>
      <c r="F9" s="256" t="s">
        <v>152</v>
      </c>
      <c r="G9" s="12" t="s">
        <v>78</v>
      </c>
      <c r="H9" s="6"/>
    </row>
    <row r="10" spans="2:8">
      <c r="B10" s="251" t="str">
        <f>'RV Selection(Crit flow)'!B11</f>
        <v>REQUIRED CAPACITY (W) =</v>
      </c>
      <c r="C10" s="19"/>
      <c r="D10" s="19"/>
      <c r="E10" s="188" t="str">
        <f>CHOOSE(UNITS,"lb/h","kg/h")</f>
        <v>lb/h</v>
      </c>
      <c r="F10" s="369">
        <f>'RV Selection(Crit flow)'!F11</f>
        <v>53500</v>
      </c>
      <c r="G10" s="326"/>
      <c r="H10" s="327"/>
    </row>
    <row r="11" spans="2:8">
      <c r="B11" s="251" t="str">
        <f>'RV Selection(Crit flow)'!B12</f>
        <v>MOLECULAR WEIGHT (M) =</v>
      </c>
      <c r="C11" s="19"/>
      <c r="D11" s="19"/>
      <c r="E11" s="188" t="str">
        <f>'RV Selection(Crit flow)'!E12</f>
        <v>-</v>
      </c>
      <c r="F11" s="370">
        <f>'RV Selection(Crit flow)'!F12</f>
        <v>65</v>
      </c>
      <c r="G11" s="326"/>
      <c r="H11" s="327"/>
    </row>
    <row r="12" spans="2:8">
      <c r="B12" s="251" t="str">
        <f>'RV Selection(Crit flow)'!B13</f>
        <v>SET PRESSURE (Pset)  =</v>
      </c>
      <c r="C12" s="19"/>
      <c r="D12" s="19"/>
      <c r="E12" s="188" t="str">
        <f>CHOOSE(UNITS,"psig","barg")</f>
        <v>psig</v>
      </c>
      <c r="F12" s="370">
        <f>'RV Selection(Crit flow)'!F13</f>
        <v>75</v>
      </c>
      <c r="G12" s="326"/>
      <c r="H12" s="327"/>
    </row>
    <row r="13" spans="2:8">
      <c r="B13" s="251" t="str">
        <f>'RV Selection(Crit flow)'!B14</f>
        <v>OVERPRESSURE =</v>
      </c>
      <c r="C13" s="34"/>
      <c r="D13" s="34"/>
      <c r="E13" s="188" t="s">
        <v>42</v>
      </c>
      <c r="F13" s="371">
        <f>'RV Selection(Crit flow)'!F14</f>
        <v>0.1</v>
      </c>
      <c r="G13" s="326"/>
      <c r="H13" s="327"/>
    </row>
    <row r="14" spans="2:8">
      <c r="B14" s="251" t="str">
        <f>'RV Selection(Crit flow)'!B15</f>
        <v>ATMOS PRESSURE (Patm)=</v>
      </c>
      <c r="C14" s="34"/>
      <c r="D14" s="34"/>
      <c r="E14" s="188" t="str">
        <f>CHOOSE(UNITS,"psia","bara")</f>
        <v>psia</v>
      </c>
      <c r="F14" s="372">
        <f>'RV Selection(Crit flow)'!F15</f>
        <v>14.6959</v>
      </c>
      <c r="G14" s="326"/>
      <c r="H14" s="327"/>
    </row>
    <row r="15" spans="2:8">
      <c r="B15" s="251" t="str">
        <f>'RV Selection(Crit flow)'!B16</f>
        <v>BACK PRESSURE(Pback)</v>
      </c>
      <c r="C15" s="34"/>
      <c r="D15" s="34"/>
      <c r="E15" s="188" t="str">
        <f>CHOOSE(UNITS,"psig","barg")</f>
        <v>psig</v>
      </c>
      <c r="F15" s="372">
        <f>'RV Selection(Crit flow)'!F16</f>
        <v>40</v>
      </c>
      <c r="G15" s="326"/>
      <c r="H15" s="327"/>
    </row>
    <row r="16" spans="2:8">
      <c r="B16" s="251" t="str">
        <f>'RV Selection(Crit flow)'!B17</f>
        <v>TEMPERATURE (T) =</v>
      </c>
      <c r="C16" s="34"/>
      <c r="D16" s="34"/>
      <c r="E16" s="188" t="str">
        <f>CHOOSE(UNITS,"F","C")</f>
        <v>F</v>
      </c>
      <c r="F16" s="370">
        <f>'RV Selection(Crit flow)'!F17</f>
        <v>167</v>
      </c>
      <c r="G16" s="326"/>
      <c r="H16" s="327"/>
    </row>
    <row r="17" spans="2:10">
      <c r="B17" s="251" t="str">
        <f>'RV Selection(Crit flow)'!B18</f>
        <v>SPECIFIC HEAT RATIO (k) =</v>
      </c>
      <c r="C17" s="19"/>
      <c r="D17" s="19"/>
      <c r="E17" s="188" t="str">
        <f>'RV Selection(Crit flow)'!E18</f>
        <v>-</v>
      </c>
      <c r="F17" s="372">
        <f>'RV Selection(Crit flow)'!F18</f>
        <v>1.0900000000000001</v>
      </c>
      <c r="G17" s="326"/>
      <c r="H17" s="327"/>
    </row>
    <row r="18" spans="2:10">
      <c r="B18" s="251" t="str">
        <f>'RV Selection(Crit flow)'!B19</f>
        <v>COMPRESSIBILITY (z) =</v>
      </c>
      <c r="C18" s="19"/>
      <c r="D18" s="19"/>
      <c r="E18" s="188" t="str">
        <f>'RV Selection(Crit flow)'!E19</f>
        <v>-</v>
      </c>
      <c r="F18" s="372">
        <f>'RV Selection(Crit flow)'!F19</f>
        <v>0.84</v>
      </c>
      <c r="G18" s="326"/>
      <c r="H18" s="327"/>
    </row>
    <row r="19" spans="2:10">
      <c r="B19" s="251" t="str">
        <f>'RV Selection(Crit flow)'!B20</f>
        <v>COEFF. OF DISCHARGE (Kd) =</v>
      </c>
      <c r="C19" s="19"/>
      <c r="D19" s="19"/>
      <c r="E19" s="188" t="str">
        <f>'RV Selection(Crit flow)'!E20</f>
        <v>-</v>
      </c>
      <c r="F19" s="372">
        <f>'RV Selection(Crit flow)'!F20</f>
        <v>0.97499999999999998</v>
      </c>
      <c r="G19" s="326"/>
      <c r="H19" s="327"/>
    </row>
    <row r="20" spans="2:10">
      <c r="B20" s="251" t="str">
        <f>'RV Selection(Crit flow)'!B21</f>
        <v>CAPACITY CORRECTION FACTOR (Kb)</v>
      </c>
      <c r="C20" s="19"/>
      <c r="D20" s="19"/>
      <c r="E20" s="188" t="str">
        <f>'RV Selection(Crit flow)'!E21</f>
        <v>-</v>
      </c>
      <c r="F20" s="372">
        <v>1</v>
      </c>
      <c r="G20" s="326"/>
      <c r="H20" s="327"/>
      <c r="J20" s="267"/>
    </row>
    <row r="21" spans="2:10">
      <c r="B21" s="251" t="str">
        <f>'RV Selection(Crit flow)'!B22</f>
        <v>COMBINATION CORRECTION FACTOR (Kc)</v>
      </c>
      <c r="C21" s="19"/>
      <c r="D21" s="19"/>
      <c r="E21" s="188" t="str">
        <f>'RV Selection(Crit flow)'!E22</f>
        <v>-</v>
      </c>
      <c r="F21" s="372">
        <f>'RV Selection(Crit flow)'!F22</f>
        <v>1</v>
      </c>
      <c r="G21" s="326"/>
      <c r="H21" s="327"/>
    </row>
    <row r="22" spans="2:10">
      <c r="B22" s="251" t="s">
        <v>155</v>
      </c>
      <c r="C22" s="12"/>
      <c r="D22" s="12"/>
      <c r="E22" s="34"/>
      <c r="F22" s="373">
        <f>CHOOSE(UNITS,735,5.58659217877095)</f>
        <v>735</v>
      </c>
      <c r="G22" s="328"/>
      <c r="H22" s="327"/>
    </row>
    <row r="23" spans="2:10" ht="15.75" customHeight="1">
      <c r="B23" s="251" t="str">
        <f>'RV Selection(Crit flow)'!B24</f>
        <v>CONST. FOR CONVERSION TO ABS. TEMP( Tcon )</v>
      </c>
      <c r="C23" s="34"/>
      <c r="D23" s="34"/>
      <c r="E23" s="188" t="str">
        <f>CHOOSE(UNITS,"F-&gt;R","C-&gt;K")</f>
        <v>F-&gt;R</v>
      </c>
      <c r="F23" s="374">
        <f>'RV Selection(Crit flow)'!F24</f>
        <v>459.67</v>
      </c>
      <c r="G23" s="326"/>
      <c r="H23" s="327"/>
    </row>
    <row r="24" spans="2:10" ht="19.5" customHeight="1">
      <c r="B24" s="179" t="s">
        <v>157</v>
      </c>
      <c r="C24" s="12"/>
      <c r="D24" s="12"/>
      <c r="E24" s="34"/>
      <c r="F24" s="34"/>
      <c r="G24" s="329"/>
      <c r="H24" s="327"/>
    </row>
    <row r="25" spans="2:10" ht="14.25" customHeight="1">
      <c r="B25" s="39" t="s">
        <v>6</v>
      </c>
      <c r="C25" s="12"/>
      <c r="D25" s="12"/>
      <c r="E25" s="188" t="str">
        <f>CHOOSE(UNITS,"psia","bara")</f>
        <v>psia</v>
      </c>
      <c r="F25" s="252">
        <f>F12*(1+F13)+F14</f>
        <v>97.195899999999995</v>
      </c>
      <c r="G25" s="329"/>
      <c r="H25" s="327"/>
    </row>
    <row r="26" spans="2:10" ht="14.25" customHeight="1">
      <c r="B26" s="130" t="s">
        <v>96</v>
      </c>
      <c r="C26" s="34"/>
      <c r="D26" s="34"/>
      <c r="E26" s="188" t="str">
        <f>CHOOSE(UNITS,"psia","bara")</f>
        <v>psia</v>
      </c>
      <c r="F26" s="257">
        <f>'RV Selection(Crit flow)'!F32</f>
        <v>57.033290400318783</v>
      </c>
      <c r="G26" s="329"/>
      <c r="H26" s="327"/>
    </row>
    <row r="27" spans="2:10" ht="12.75" customHeight="1">
      <c r="B27" s="130" t="s">
        <v>148</v>
      </c>
      <c r="C27" s="34"/>
      <c r="D27" s="34"/>
      <c r="E27" s="188" t="str">
        <f>CHOOSE(UNITS,"psia","bara")</f>
        <v>psia</v>
      </c>
      <c r="F27" s="257">
        <f>F15+F14</f>
        <v>54.695900000000002</v>
      </c>
      <c r="G27" s="330"/>
      <c r="H27" s="327"/>
    </row>
    <row r="28" spans="2:10">
      <c r="B28" s="50" t="s">
        <v>161</v>
      </c>
      <c r="C28" s="173"/>
      <c r="D28" s="12"/>
      <c r="E28" s="12"/>
      <c r="F28" s="177" t="str">
        <f>IF('RV Selection(Crit flow)'!F34="TRUE!","FALSE!","TRUE!")</f>
        <v>FALSE!</v>
      </c>
      <c r="G28" s="331">
        <f>IF(F28="TRUE!",1,0)</f>
        <v>0</v>
      </c>
      <c r="H28" s="327"/>
    </row>
    <row r="29" spans="2:10">
      <c r="B29" s="129" t="s">
        <v>108</v>
      </c>
      <c r="C29" s="12"/>
      <c r="D29" s="12"/>
      <c r="E29" s="149"/>
      <c r="F29" s="165"/>
      <c r="G29" s="332" t="s">
        <v>98</v>
      </c>
      <c r="H29" s="301"/>
    </row>
    <row r="30" spans="2:10">
      <c r="B30" s="174"/>
      <c r="C30" s="12"/>
      <c r="D30" s="12"/>
      <c r="E30" s="12"/>
      <c r="F30" s="127"/>
      <c r="G30" s="329"/>
      <c r="H30" s="301"/>
    </row>
    <row r="31" spans="2:10" ht="14.25">
      <c r="B31" s="44" t="s">
        <v>116</v>
      </c>
      <c r="C31" s="12"/>
      <c r="D31" s="12"/>
      <c r="E31" s="149"/>
      <c r="F31" s="167"/>
      <c r="G31" s="332"/>
      <c r="H31" s="303"/>
    </row>
    <row r="32" spans="2:10" ht="19.5" customHeight="1">
      <c r="B32" s="175" t="s">
        <v>105</v>
      </c>
      <c r="C32" s="12"/>
      <c r="D32" s="12"/>
      <c r="E32" s="149"/>
      <c r="F32" s="167"/>
      <c r="G32" s="332"/>
      <c r="H32" s="303"/>
    </row>
    <row r="33" spans="2:11">
      <c r="B33" s="50" t="s">
        <v>99</v>
      </c>
      <c r="C33" s="12"/>
      <c r="D33" s="12"/>
      <c r="E33" s="12" t="s">
        <v>0</v>
      </c>
      <c r="F33" s="170">
        <f>'RV Selection(Crit flow)'!F18/('RV Selection(Crit flow)'!F18-1)</f>
        <v>12.111111111111102</v>
      </c>
      <c r="G33" s="332"/>
      <c r="H33" s="301"/>
      <c r="I33" s="27"/>
    </row>
    <row r="34" spans="2:11">
      <c r="B34" s="50" t="s">
        <v>103</v>
      </c>
      <c r="C34" s="12"/>
      <c r="D34" s="12"/>
      <c r="E34" s="12" t="s">
        <v>0</v>
      </c>
      <c r="F34" s="170">
        <f>1/F33</f>
        <v>8.2568807339449601E-2</v>
      </c>
      <c r="G34" s="332"/>
      <c r="H34" s="301"/>
      <c r="I34" s="27"/>
    </row>
    <row r="35" spans="2:11">
      <c r="B35" s="50" t="s">
        <v>101</v>
      </c>
      <c r="C35" s="12"/>
      <c r="D35" s="12"/>
      <c r="E35" s="12" t="s">
        <v>0</v>
      </c>
      <c r="F35" s="170">
        <f>2/'RV Selection(Crit flow)'!F18</f>
        <v>1.8348623853211008</v>
      </c>
      <c r="G35" s="332"/>
      <c r="H35" s="301"/>
      <c r="I35" s="27"/>
    </row>
    <row r="36" spans="2:11">
      <c r="B36" s="50" t="s">
        <v>100</v>
      </c>
      <c r="C36" s="173" t="s">
        <v>153</v>
      </c>
      <c r="D36" s="12"/>
      <c r="E36" s="12" t="s">
        <v>0</v>
      </c>
      <c r="F36" s="170">
        <f>F27/F25</f>
        <v>0.56273875749903035</v>
      </c>
      <c r="G36" s="332"/>
      <c r="H36" s="301"/>
      <c r="I36" s="27"/>
    </row>
    <row r="37" spans="2:11">
      <c r="B37" s="150" t="s">
        <v>102</v>
      </c>
      <c r="C37" s="12"/>
      <c r="D37" s="12"/>
      <c r="E37" s="149" t="s">
        <v>0</v>
      </c>
      <c r="F37" s="171">
        <f>1-F36</f>
        <v>0.43726124250096965</v>
      </c>
      <c r="G37" s="329"/>
      <c r="H37" s="301"/>
    </row>
    <row r="38" spans="2:11" ht="15.75">
      <c r="B38" s="150" t="s">
        <v>106</v>
      </c>
      <c r="C38" s="12"/>
      <c r="D38" s="12"/>
      <c r="E38" s="149"/>
      <c r="F38" s="171">
        <f>SQRT(F33*(F36^F35)*((1-(F36^F34))/F37))</f>
        <v>0.66869881500019013</v>
      </c>
      <c r="G38" s="329"/>
      <c r="H38" s="301"/>
    </row>
    <row r="39" spans="2:11">
      <c r="B39" s="48"/>
      <c r="C39" s="12"/>
      <c r="D39" s="12"/>
      <c r="E39" s="12"/>
      <c r="F39" s="170"/>
      <c r="G39" s="329"/>
      <c r="H39" s="301"/>
    </row>
    <row r="40" spans="2:11" ht="14.25">
      <c r="B40" s="44" t="s">
        <v>104</v>
      </c>
      <c r="C40" s="12"/>
      <c r="D40" s="12"/>
      <c r="E40" s="12"/>
      <c r="F40" s="170"/>
      <c r="G40" s="329"/>
      <c r="H40" s="301"/>
    </row>
    <row r="41" spans="2:11" ht="19.5" customHeight="1">
      <c r="B41" s="175" t="s">
        <v>156</v>
      </c>
      <c r="C41" s="12"/>
      <c r="D41" s="12"/>
      <c r="E41" s="12"/>
      <c r="F41" s="170"/>
      <c r="G41" s="329"/>
      <c r="H41" s="301"/>
    </row>
    <row r="42" spans="2:11" ht="15.75">
      <c r="B42" s="35" t="s">
        <v>146</v>
      </c>
      <c r="C42" s="12"/>
      <c r="D42" s="12"/>
      <c r="E42" s="12" t="str">
        <f>CHOOSE(UNITS,"R","K")</f>
        <v>R</v>
      </c>
      <c r="F42" s="258">
        <f>F16+F23</f>
        <v>626.67000000000007</v>
      </c>
      <c r="G42" s="333"/>
      <c r="H42" s="301"/>
    </row>
    <row r="43" spans="2:11" ht="15.75">
      <c r="B43" s="50" t="s">
        <v>144</v>
      </c>
      <c r="C43" s="12"/>
      <c r="D43" s="12"/>
      <c r="E43" s="187"/>
      <c r="F43" s="259">
        <f>F10/F38/F22/F19/F21</f>
        <v>111.6429423116453</v>
      </c>
      <c r="G43" s="333"/>
      <c r="H43" s="301"/>
      <c r="J43" s="180"/>
      <c r="K43" s="180"/>
    </row>
    <row r="44" spans="2:11" ht="15.75" customHeight="1">
      <c r="B44" s="50" t="s">
        <v>154</v>
      </c>
      <c r="C44" s="12"/>
      <c r="D44" s="12"/>
      <c r="E44" s="12"/>
      <c r="F44" s="170">
        <f>F18*F42/F11/F25/(F25-F27)</f>
        <v>1.9605050189746248E-3</v>
      </c>
      <c r="G44" s="333"/>
      <c r="H44" s="301"/>
      <c r="J44" s="180"/>
      <c r="K44" s="180"/>
    </row>
    <row r="45" spans="2:11" ht="16.5" customHeight="1">
      <c r="B45" s="44" t="s">
        <v>114</v>
      </c>
      <c r="C45" s="12"/>
      <c r="D45" s="12"/>
      <c r="E45" s="12" t="str">
        <f>CHOOSE(UNITS,"in2","mm2")</f>
        <v>in2</v>
      </c>
      <c r="F45" s="268">
        <f>G28*F43*SQRT(F44)</f>
        <v>0</v>
      </c>
      <c r="G45" s="334"/>
      <c r="H45" s="335"/>
      <c r="J45" s="180"/>
      <c r="K45" s="180"/>
    </row>
    <row r="46" spans="2:11">
      <c r="B46" s="48"/>
      <c r="C46" s="12"/>
      <c r="D46" s="12"/>
      <c r="E46" s="149"/>
      <c r="F46" s="172"/>
      <c r="G46" s="336"/>
      <c r="H46" s="303"/>
      <c r="J46" s="180"/>
      <c r="K46" s="180"/>
    </row>
    <row r="47" spans="2:11">
      <c r="B47" s="129" t="s">
        <v>86</v>
      </c>
      <c r="C47" s="15"/>
      <c r="D47" s="15"/>
      <c r="E47" s="51"/>
      <c r="F47" s="51"/>
      <c r="G47" s="336"/>
      <c r="H47" s="303"/>
      <c r="J47" s="180"/>
      <c r="K47" s="180"/>
    </row>
    <row r="48" spans="2:11" ht="15.75">
      <c r="B48" s="52"/>
      <c r="C48" s="53" t="s">
        <v>10</v>
      </c>
      <c r="D48" s="115" t="s">
        <v>85</v>
      </c>
      <c r="E48" s="51"/>
      <c r="F48" s="51"/>
      <c r="G48" s="336"/>
      <c r="H48" s="303"/>
      <c r="J48" s="180"/>
      <c r="K48" s="180"/>
    </row>
    <row r="49" spans="2:11">
      <c r="B49" s="52"/>
      <c r="C49" s="53"/>
      <c r="D49" s="15"/>
      <c r="E49" s="12" t="str">
        <f>CHOOSE(UNITS,"in","mm")</f>
        <v>in</v>
      </c>
      <c r="F49" s="67">
        <f>SQRT(F45*4/PI())</f>
        <v>0</v>
      </c>
      <c r="G49" s="336"/>
      <c r="H49" s="303"/>
      <c r="J49" s="180"/>
      <c r="K49" s="180"/>
    </row>
    <row r="50" spans="2:11">
      <c r="B50" s="44" t="s">
        <v>11</v>
      </c>
      <c r="C50" s="12"/>
      <c r="D50" s="12"/>
      <c r="E50" s="149"/>
      <c r="F50" s="181" t="e">
        <f>VLOOKUP(CHOOSE(UNITS,1,1/645.16)*F45,orifices,2,TRUE)</f>
        <v>#N/A</v>
      </c>
      <c r="G50" s="337"/>
      <c r="H50" s="303"/>
      <c r="J50" s="180"/>
      <c r="K50" s="180"/>
    </row>
    <row r="51" spans="2:11" ht="14.25">
      <c r="B51" s="186" t="s">
        <v>115</v>
      </c>
      <c r="D51" s="17"/>
      <c r="E51" s="12" t="str">
        <f>CHOOSE(UNITS,"in2","mm2")</f>
        <v>in2</v>
      </c>
      <c r="F51" s="264" t="e">
        <f>VLOOKUP(F50,orificesize,2,FALSE)*CHOOSE(UNITS,1,645.16)</f>
        <v>#N/A</v>
      </c>
      <c r="G51" s="338"/>
      <c r="H51" s="335"/>
      <c r="J51" s="180"/>
      <c r="K51" s="180"/>
    </row>
    <row r="52" spans="2:11">
      <c r="B52" s="129"/>
      <c r="C52" s="12"/>
      <c r="D52" s="12"/>
      <c r="E52" s="149"/>
      <c r="F52" s="172"/>
      <c r="G52" s="339"/>
      <c r="H52" s="303"/>
      <c r="J52" s="180"/>
      <c r="K52" s="180"/>
    </row>
    <row r="53" spans="2:11" ht="14.25">
      <c r="B53" s="129" t="s">
        <v>83</v>
      </c>
      <c r="C53" s="18"/>
      <c r="D53" s="18"/>
      <c r="E53" s="18"/>
      <c r="F53" s="40"/>
      <c r="G53" s="339"/>
      <c r="H53" s="303"/>
      <c r="J53" s="180"/>
      <c r="K53" s="180"/>
    </row>
    <row r="54" spans="2:11" ht="18" customHeight="1">
      <c r="B54" s="135" t="s">
        <v>12</v>
      </c>
      <c r="C54" s="17"/>
      <c r="D54" s="17"/>
      <c r="E54" s="188" t="str">
        <f>CHOOSE(UNITS,"lb/h","kg/h")</f>
        <v>lb/h</v>
      </c>
      <c r="F54" s="269" t="e">
        <f>F51/F45*F10</f>
        <v>#N/A</v>
      </c>
      <c r="G54" s="328"/>
      <c r="H54" s="340"/>
      <c r="J54" s="180"/>
      <c r="K54" s="180"/>
    </row>
    <row r="55" spans="2:11">
      <c r="B55" s="54"/>
      <c r="C55" s="18"/>
      <c r="D55" s="18"/>
      <c r="E55" s="18"/>
      <c r="F55" s="182"/>
      <c r="G55" s="333"/>
      <c r="H55" s="301"/>
      <c r="J55" s="180"/>
      <c r="K55" s="180"/>
    </row>
    <row r="56" spans="2:11">
      <c r="B56" s="48"/>
      <c r="C56" s="12"/>
      <c r="D56" s="12"/>
      <c r="E56" s="12"/>
      <c r="F56" s="169"/>
      <c r="G56" s="333"/>
      <c r="H56" s="301"/>
      <c r="J56" s="180"/>
      <c r="K56" s="180"/>
    </row>
    <row r="57" spans="2:11">
      <c r="B57" s="44"/>
      <c r="C57" s="12"/>
      <c r="D57" s="12"/>
      <c r="E57" s="12"/>
      <c r="F57" s="169"/>
      <c r="G57" s="329"/>
      <c r="H57" s="301"/>
      <c r="J57" s="180"/>
      <c r="K57" s="180"/>
    </row>
    <row r="58" spans="2:11">
      <c r="B58" s="44" t="s">
        <v>14</v>
      </c>
      <c r="C58" s="19" t="e">
        <f>CONCATENATE("As per Relief valve selection table:- ",F50," , to be considered")</f>
        <v>#N/A</v>
      </c>
      <c r="D58" s="152"/>
      <c r="E58" s="152"/>
      <c r="F58" s="168"/>
      <c r="G58" s="341"/>
      <c r="H58" s="301"/>
      <c r="J58" s="180"/>
      <c r="K58" s="180"/>
    </row>
    <row r="59" spans="2:11">
      <c r="B59" s="50"/>
      <c r="C59" s="12"/>
      <c r="D59" s="152"/>
      <c r="E59" s="152"/>
      <c r="F59" s="169"/>
      <c r="G59" s="329"/>
      <c r="H59" s="340"/>
      <c r="J59" s="180"/>
      <c r="K59" s="180"/>
    </row>
    <row r="60" spans="2:11">
      <c r="B60" s="48"/>
      <c r="C60" s="49"/>
      <c r="E60" s="149"/>
      <c r="F60" s="183"/>
      <c r="G60" s="330"/>
      <c r="H60" s="342"/>
      <c r="J60" s="180"/>
      <c r="K60" s="180"/>
    </row>
    <row r="61" spans="2:11">
      <c r="B61" s="50"/>
      <c r="C61" s="12"/>
      <c r="D61" s="13"/>
      <c r="E61" s="149"/>
      <c r="F61" s="151"/>
      <c r="G61" s="329"/>
      <c r="H61" s="340"/>
      <c r="J61" s="180"/>
      <c r="K61" s="180"/>
    </row>
    <row r="62" spans="2:11">
      <c r="B62" s="44"/>
      <c r="C62" s="12"/>
      <c r="D62" s="12"/>
      <c r="E62" s="12"/>
      <c r="F62" s="157"/>
      <c r="G62" s="329"/>
      <c r="H62" s="340"/>
      <c r="J62" s="180"/>
      <c r="K62" s="180"/>
    </row>
    <row r="63" spans="2:11">
      <c r="B63" s="50"/>
      <c r="C63" s="56"/>
      <c r="D63" s="57"/>
      <c r="E63" s="56"/>
      <c r="F63" s="56"/>
      <c r="G63" s="343"/>
      <c r="H63" s="340"/>
      <c r="J63" s="180"/>
      <c r="K63" s="180"/>
    </row>
    <row r="64" spans="2:11">
      <c r="B64" s="50"/>
      <c r="C64" s="57"/>
      <c r="D64" s="57"/>
      <c r="E64" s="148"/>
      <c r="F64" s="68"/>
      <c r="G64" s="344"/>
      <c r="H64" s="340"/>
      <c r="J64" s="180"/>
      <c r="K64" s="180"/>
    </row>
    <row r="65" spans="2:11">
      <c r="B65" s="50"/>
      <c r="C65" s="57"/>
      <c r="D65" s="57"/>
      <c r="E65" s="148"/>
      <c r="F65" s="68"/>
      <c r="G65" s="344"/>
      <c r="H65" s="340"/>
      <c r="J65" s="180"/>
      <c r="K65" s="180"/>
    </row>
    <row r="66" spans="2:11">
      <c r="B66" s="50"/>
      <c r="C66" s="57"/>
      <c r="D66" s="57"/>
      <c r="E66" s="148"/>
      <c r="F66" s="68"/>
      <c r="G66" s="344"/>
      <c r="H66" s="340"/>
      <c r="J66" s="180"/>
      <c r="K66" s="180"/>
    </row>
    <row r="67" spans="2:11">
      <c r="B67" s="50"/>
      <c r="C67" s="57"/>
      <c r="D67" s="57"/>
      <c r="E67" s="148"/>
      <c r="F67" s="68"/>
      <c r="G67" s="344"/>
      <c r="H67" s="340"/>
      <c r="J67" s="180"/>
      <c r="K67" s="180"/>
    </row>
    <row r="68" spans="2:11" ht="13.5" thickBot="1">
      <c r="B68" s="159"/>
      <c r="C68" s="160"/>
      <c r="D68" s="161"/>
      <c r="E68" s="161"/>
      <c r="F68" s="161"/>
      <c r="G68" s="345"/>
      <c r="H68" s="346"/>
      <c r="J68" s="180"/>
      <c r="K68" s="180"/>
    </row>
    <row r="69" spans="2:11">
      <c r="B69" s="1"/>
      <c r="C69" s="1"/>
      <c r="D69" s="163"/>
      <c r="E69" s="164"/>
      <c r="F69" s="164"/>
      <c r="G69" s="1"/>
      <c r="H69" s="1"/>
      <c r="J69" s="180"/>
      <c r="K69" s="180"/>
    </row>
    <row r="70" spans="2:11">
      <c r="J70" s="180"/>
      <c r="K70" s="180"/>
    </row>
    <row r="71" spans="2:11">
      <c r="J71" s="180"/>
      <c r="K71" s="180"/>
    </row>
    <row r="72" spans="2:11">
      <c r="J72" s="180"/>
      <c r="K72" s="180"/>
    </row>
    <row r="73" spans="2:11">
      <c r="J73" s="180"/>
      <c r="K73" s="180"/>
    </row>
    <row r="74" spans="2:11">
      <c r="J74" s="180"/>
      <c r="K74" s="180"/>
    </row>
    <row r="75" spans="2:11">
      <c r="J75" s="180"/>
      <c r="K75" s="180"/>
    </row>
    <row r="76" spans="2:11">
      <c r="J76" s="180"/>
      <c r="K76" s="180"/>
    </row>
    <row r="77" spans="2:11">
      <c r="J77" s="180"/>
      <c r="K77" s="180"/>
    </row>
    <row r="78" spans="2:11">
      <c r="J78" s="180"/>
      <c r="K78" s="180"/>
    </row>
    <row r="79" spans="2:11">
      <c r="J79" s="180"/>
      <c r="K79" s="180"/>
    </row>
    <row r="80" spans="2:11">
      <c r="J80" s="180"/>
      <c r="K80" s="180"/>
    </row>
    <row r="81" spans="10:11">
      <c r="J81" s="180"/>
      <c r="K81" s="180"/>
    </row>
    <row r="82" spans="10:11">
      <c r="J82" s="180"/>
      <c r="K82" s="180"/>
    </row>
    <row r="83" spans="10:11">
      <c r="J83" s="180"/>
      <c r="K83" s="180"/>
    </row>
    <row r="84" spans="10:11">
      <c r="J84" s="180"/>
      <c r="K84" s="180"/>
    </row>
    <row r="85" spans="10:11">
      <c r="J85" s="180"/>
      <c r="K85" s="180"/>
    </row>
    <row r="86" spans="10:11">
      <c r="J86" s="180"/>
      <c r="K86" s="180"/>
    </row>
    <row r="87" spans="10:11">
      <c r="J87" s="180"/>
      <c r="K87" s="180"/>
    </row>
    <row r="88" spans="10:11">
      <c r="J88" s="180"/>
      <c r="K88" s="180"/>
    </row>
    <row r="89" spans="10:11">
      <c r="J89" s="180"/>
      <c r="K89" s="180"/>
    </row>
    <row r="90" spans="10:11">
      <c r="J90" s="180"/>
      <c r="K90" s="180"/>
    </row>
    <row r="91" spans="10:11">
      <c r="J91" s="180"/>
      <c r="K91" s="180"/>
    </row>
    <row r="92" spans="10:11">
      <c r="J92" s="180"/>
      <c r="K92" s="180"/>
    </row>
    <row r="93" spans="10:11">
      <c r="J93" s="180"/>
      <c r="K93" s="180"/>
    </row>
    <row r="94" spans="10:11">
      <c r="J94" s="180"/>
      <c r="K94" s="180"/>
    </row>
    <row r="95" spans="10:11">
      <c r="J95" s="180"/>
      <c r="K95" s="180"/>
    </row>
    <row r="96" spans="10:11">
      <c r="J96" s="180"/>
      <c r="K96" s="180"/>
    </row>
    <row r="97" spans="10:11">
      <c r="J97" s="180"/>
      <c r="K97" s="180"/>
    </row>
    <row r="98" spans="10:11">
      <c r="J98" s="180"/>
      <c r="K98" s="180"/>
    </row>
    <row r="99" spans="10:11">
      <c r="J99" s="180"/>
      <c r="K99" s="180"/>
    </row>
    <row r="100" spans="10:11">
      <c r="J100" s="180"/>
      <c r="K100" s="180"/>
    </row>
    <row r="101" spans="10:11">
      <c r="J101" s="180"/>
      <c r="K101" s="180"/>
    </row>
    <row r="102" spans="10:11">
      <c r="J102" s="180"/>
      <c r="K102" s="180"/>
    </row>
    <row r="103" spans="10:11">
      <c r="J103" s="180"/>
      <c r="K103" s="180"/>
    </row>
    <row r="104" spans="10:11">
      <c r="J104" s="180"/>
      <c r="K104" s="180"/>
    </row>
    <row r="105" spans="10:11">
      <c r="J105" s="180"/>
      <c r="K105" s="180"/>
    </row>
    <row r="106" spans="10:11">
      <c r="J106" s="180"/>
      <c r="K106" s="180"/>
    </row>
    <row r="107" spans="10:11">
      <c r="J107" s="180"/>
      <c r="K107" s="180"/>
    </row>
    <row r="108" spans="10:11">
      <c r="J108" s="180"/>
      <c r="K108" s="180"/>
    </row>
    <row r="109" spans="10:11">
      <c r="J109" s="180"/>
      <c r="K109" s="180"/>
    </row>
    <row r="110" spans="10:11">
      <c r="J110" s="180"/>
      <c r="K110" s="180"/>
    </row>
    <row r="111" spans="10:11">
      <c r="J111" s="180"/>
      <c r="K111" s="180"/>
    </row>
    <row r="112" spans="10:11">
      <c r="J112" s="180"/>
      <c r="K112" s="180"/>
    </row>
    <row r="113" spans="10:11">
      <c r="J113" s="180"/>
      <c r="K113" s="180"/>
    </row>
    <row r="114" spans="10:11">
      <c r="J114" s="180"/>
      <c r="K114" s="180"/>
    </row>
    <row r="115" spans="10:11">
      <c r="J115" s="180"/>
      <c r="K115" s="180"/>
    </row>
    <row r="116" spans="10:11">
      <c r="J116" s="180"/>
      <c r="K116" s="180"/>
    </row>
    <row r="117" spans="10:11">
      <c r="J117" s="180"/>
      <c r="K117" s="180"/>
    </row>
    <row r="118" spans="10:11">
      <c r="J118" s="180"/>
      <c r="K118" s="180"/>
    </row>
    <row r="119" spans="10:11">
      <c r="J119" s="180"/>
      <c r="K119" s="180"/>
    </row>
    <row r="120" spans="10:11">
      <c r="J120" s="180"/>
      <c r="K120" s="180"/>
    </row>
    <row r="121" spans="10:11">
      <c r="J121" s="180"/>
      <c r="K121" s="180"/>
    </row>
    <row r="122" spans="10:11">
      <c r="J122" s="180"/>
      <c r="K122" s="180"/>
    </row>
    <row r="123" spans="10:11">
      <c r="J123" s="180"/>
      <c r="K123" s="180"/>
    </row>
    <row r="124" spans="10:11">
      <c r="J124" s="180"/>
      <c r="K124" s="180"/>
    </row>
    <row r="125" spans="10:11">
      <c r="J125" s="180"/>
      <c r="K125" s="180"/>
    </row>
    <row r="126" spans="10:11">
      <c r="J126" s="180"/>
      <c r="K126" s="180"/>
    </row>
    <row r="127" spans="10:11">
      <c r="J127" s="180"/>
      <c r="K127" s="180"/>
    </row>
    <row r="128" spans="10:11">
      <c r="J128" s="180"/>
      <c r="K128" s="180"/>
    </row>
    <row r="129" spans="10:11">
      <c r="J129" s="180"/>
      <c r="K129" s="180"/>
    </row>
    <row r="130" spans="10:11">
      <c r="J130" s="180"/>
      <c r="K130" s="180"/>
    </row>
    <row r="131" spans="10:11">
      <c r="J131" s="180"/>
      <c r="K131" s="180"/>
    </row>
    <row r="132" spans="10:11">
      <c r="J132" s="180"/>
      <c r="K132" s="180"/>
    </row>
    <row r="133" spans="10:11">
      <c r="J133" s="180"/>
      <c r="K133" s="180"/>
    </row>
    <row r="134" spans="10:11">
      <c r="J134" s="180"/>
      <c r="K134" s="180"/>
    </row>
    <row r="135" spans="10:11">
      <c r="J135" s="180"/>
      <c r="K135" s="180"/>
    </row>
    <row r="136" spans="10:11">
      <c r="J136" s="180"/>
      <c r="K136" s="180"/>
    </row>
    <row r="137" spans="10:11">
      <c r="J137" s="180"/>
      <c r="K137" s="180"/>
    </row>
    <row r="138" spans="10:11">
      <c r="J138" s="180"/>
      <c r="K138" s="180"/>
    </row>
    <row r="139" spans="10:11">
      <c r="J139" s="180"/>
      <c r="K139" s="180"/>
    </row>
    <row r="140" spans="10:11">
      <c r="J140" s="180"/>
      <c r="K140" s="180"/>
    </row>
    <row r="141" spans="10:11">
      <c r="J141" s="180"/>
      <c r="K141" s="180"/>
    </row>
    <row r="142" spans="10:11">
      <c r="J142" s="180"/>
      <c r="K142" s="180"/>
    </row>
    <row r="143" spans="10:11">
      <c r="J143" s="180"/>
      <c r="K143" s="180"/>
    </row>
    <row r="144" spans="10:11">
      <c r="J144" s="180"/>
      <c r="K144" s="180"/>
    </row>
    <row r="145" spans="10:11">
      <c r="J145" s="180"/>
      <c r="K145" s="180"/>
    </row>
    <row r="146" spans="10:11">
      <c r="J146" s="180"/>
      <c r="K146" s="180"/>
    </row>
    <row r="147" spans="10:11">
      <c r="J147" s="180"/>
      <c r="K147" s="180"/>
    </row>
    <row r="148" spans="10:11">
      <c r="J148" s="180"/>
      <c r="K148" s="180"/>
    </row>
    <row r="149" spans="10:11">
      <c r="J149" s="180"/>
      <c r="K149" s="180"/>
    </row>
    <row r="150" spans="10:11">
      <c r="J150" s="180"/>
      <c r="K150" s="180"/>
    </row>
    <row r="151" spans="10:11">
      <c r="J151" s="180"/>
      <c r="K151" s="180"/>
    </row>
    <row r="152" spans="10:11">
      <c r="J152" s="180"/>
      <c r="K152" s="180"/>
    </row>
    <row r="153" spans="10:11">
      <c r="J153" s="180"/>
      <c r="K153" s="180"/>
    </row>
    <row r="154" spans="10:11">
      <c r="J154" s="180"/>
      <c r="K154" s="180"/>
    </row>
    <row r="155" spans="10:11">
      <c r="J155" s="180"/>
      <c r="K155" s="180"/>
    </row>
    <row r="156" spans="10:11">
      <c r="J156" s="180"/>
      <c r="K156" s="180"/>
    </row>
    <row r="157" spans="10:11">
      <c r="J157" s="180"/>
      <c r="K157" s="180"/>
    </row>
    <row r="158" spans="10:11">
      <c r="J158" s="180"/>
      <c r="K158" s="180"/>
    </row>
    <row r="159" spans="10:11">
      <c r="J159" s="180"/>
      <c r="K159" s="180"/>
    </row>
    <row r="160" spans="10:11">
      <c r="J160" s="180"/>
      <c r="K160" s="180"/>
    </row>
    <row r="161" spans="10:11">
      <c r="J161" s="180"/>
      <c r="K161" s="180"/>
    </row>
    <row r="162" spans="10:11">
      <c r="J162" s="180"/>
      <c r="K162" s="180"/>
    </row>
    <row r="163" spans="10:11">
      <c r="J163" s="180"/>
      <c r="K163" s="180"/>
    </row>
    <row r="164" spans="10:11">
      <c r="J164" s="180"/>
      <c r="K164" s="180"/>
    </row>
    <row r="165" spans="10:11">
      <c r="J165" s="180"/>
      <c r="K165" s="180"/>
    </row>
    <row r="166" spans="10:11">
      <c r="J166" s="180"/>
      <c r="K166" s="180"/>
    </row>
    <row r="167" spans="10:11">
      <c r="J167" s="180"/>
      <c r="K167" s="180"/>
    </row>
    <row r="168" spans="10:11">
      <c r="J168" s="180"/>
      <c r="K168" s="180"/>
    </row>
    <row r="169" spans="10:11">
      <c r="J169" s="180"/>
      <c r="K169" s="180"/>
    </row>
    <row r="170" spans="10:11">
      <c r="J170" s="180"/>
      <c r="K170" s="180"/>
    </row>
    <row r="171" spans="10:11">
      <c r="J171" s="180"/>
      <c r="K171" s="180"/>
    </row>
    <row r="172" spans="10:11">
      <c r="J172" s="180"/>
      <c r="K172" s="180"/>
    </row>
    <row r="173" spans="10:11">
      <c r="J173" s="180"/>
      <c r="K173" s="180"/>
    </row>
    <row r="174" spans="10:11">
      <c r="J174" s="180"/>
      <c r="K174" s="180"/>
    </row>
    <row r="175" spans="10:11">
      <c r="J175" s="180"/>
      <c r="K175" s="180"/>
    </row>
    <row r="176" spans="10:11">
      <c r="J176" s="180"/>
      <c r="K176" s="180"/>
    </row>
    <row r="177" spans="10:11">
      <c r="J177" s="180"/>
      <c r="K177" s="180"/>
    </row>
    <row r="178" spans="10:11">
      <c r="J178" s="180"/>
      <c r="K178" s="180"/>
    </row>
    <row r="179" spans="10:11">
      <c r="J179" s="180"/>
      <c r="K179" s="180"/>
    </row>
    <row r="180" spans="10:11">
      <c r="J180" s="180"/>
      <c r="K180" s="180"/>
    </row>
    <row r="181" spans="10:11">
      <c r="J181" s="180"/>
      <c r="K181" s="180"/>
    </row>
    <row r="182" spans="10:11">
      <c r="J182" s="180"/>
      <c r="K182" s="180"/>
    </row>
    <row r="183" spans="10:11">
      <c r="J183" s="180"/>
      <c r="K183" s="180"/>
    </row>
    <row r="184" spans="10:11">
      <c r="J184" s="180"/>
      <c r="K184" s="180"/>
    </row>
    <row r="185" spans="10:11">
      <c r="J185" s="180"/>
      <c r="K185" s="180"/>
    </row>
    <row r="186" spans="10:11">
      <c r="J186" s="180"/>
      <c r="K186" s="180"/>
    </row>
    <row r="187" spans="10:11">
      <c r="J187" s="180"/>
      <c r="K187" s="180"/>
    </row>
    <row r="188" spans="10:11">
      <c r="J188" s="180"/>
      <c r="K188" s="180"/>
    </row>
    <row r="189" spans="10:11">
      <c r="J189" s="180"/>
      <c r="K189" s="180"/>
    </row>
    <row r="190" spans="10:11">
      <c r="J190" s="180"/>
      <c r="K190" s="180"/>
    </row>
    <row r="191" spans="10:11">
      <c r="J191" s="180"/>
      <c r="K191" s="180"/>
    </row>
    <row r="192" spans="10:11">
      <c r="J192" s="180"/>
      <c r="K192" s="180"/>
    </row>
    <row r="193" spans="10:11">
      <c r="J193" s="180"/>
      <c r="K193" s="180"/>
    </row>
    <row r="194" spans="10:11">
      <c r="J194" s="180"/>
      <c r="K194" s="180"/>
    </row>
    <row r="195" spans="10:11">
      <c r="J195" s="180"/>
      <c r="K195" s="180"/>
    </row>
    <row r="196" spans="10:11">
      <c r="J196" s="180"/>
      <c r="K196" s="180"/>
    </row>
  </sheetData>
  <sheetProtection password="E31A" sheet="1" objects="1" scenarios="1"/>
  <mergeCells count="7">
    <mergeCell ref="D1:H1"/>
    <mergeCell ref="F2:H2"/>
    <mergeCell ref="B3:C4"/>
    <mergeCell ref="B1:C1"/>
    <mergeCell ref="F3:G3"/>
    <mergeCell ref="F4:G4"/>
    <mergeCell ref="D2:E2"/>
  </mergeCells>
  <pageMargins left="0.25" right="0.25" top="0.25" bottom="0.33" header="0.5" footer="0.43"/>
  <pageSetup paperSize="9" scale="81" orientation="portrait" horizontalDpi="300" verticalDpi="300" r:id="rId1"/>
  <headerFooter alignWithMargins="0">
    <oddFooter>&amp;L&amp;F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B1:P72"/>
  <sheetViews>
    <sheetView showZeros="0" zoomScale="85" zoomScaleNormal="85" zoomScaleSheetLayoutView="75" workbookViewId="0">
      <selection activeCell="F24" sqref="F24"/>
    </sheetView>
  </sheetViews>
  <sheetFormatPr defaultRowHeight="12.75"/>
  <cols>
    <col min="1" max="1" width="5.7109375" style="3" customWidth="1"/>
    <col min="2" max="2" width="19.7109375" style="3" customWidth="1"/>
    <col min="3" max="3" width="20.7109375" style="3" customWidth="1"/>
    <col min="4" max="4" width="17" style="3" customWidth="1"/>
    <col min="5" max="5" width="10.85546875" style="3" customWidth="1"/>
    <col min="6" max="6" width="13.85546875" style="3" customWidth="1"/>
    <col min="7" max="7" width="11.85546875" style="3" customWidth="1"/>
    <col min="8" max="8" width="14.42578125" style="3" customWidth="1"/>
    <col min="9" max="9" width="4.7109375" style="3" customWidth="1"/>
    <col min="10" max="16384" width="9.140625" style="3"/>
  </cols>
  <sheetData>
    <row r="1" spans="2:15" ht="48" customHeight="1">
      <c r="B1" s="442" t="s">
        <v>163</v>
      </c>
      <c r="C1" s="443"/>
      <c r="D1" s="444"/>
      <c r="E1" s="444"/>
      <c r="F1" s="444"/>
      <c r="G1" s="444"/>
      <c r="H1" s="445"/>
    </row>
    <row r="2" spans="2:15" ht="12.75" customHeight="1">
      <c r="B2" s="16" t="s">
        <v>2</v>
      </c>
      <c r="C2" s="58"/>
      <c r="D2" s="452" t="s">
        <v>166</v>
      </c>
      <c r="E2" s="453"/>
      <c r="F2" s="446" t="s">
        <v>180</v>
      </c>
      <c r="G2" s="446"/>
      <c r="H2" s="447"/>
    </row>
    <row r="3" spans="2:15" ht="12.75" customHeight="1">
      <c r="B3" s="448"/>
      <c r="C3" s="449"/>
      <c r="D3" s="63" t="s">
        <v>39</v>
      </c>
      <c r="E3" s="60"/>
      <c r="F3" s="446" t="s">
        <v>38</v>
      </c>
      <c r="G3" s="446"/>
      <c r="H3" s="29" t="s">
        <v>1</v>
      </c>
    </row>
    <row r="4" spans="2:15" ht="32.25" customHeight="1">
      <c r="B4" s="450"/>
      <c r="C4" s="451"/>
      <c r="D4" s="64" t="s">
        <v>37</v>
      </c>
      <c r="E4" s="65"/>
      <c r="F4" s="446" t="s">
        <v>38</v>
      </c>
      <c r="G4" s="446"/>
      <c r="H4" s="29"/>
    </row>
    <row r="5" spans="2:15" ht="12.75" customHeight="1">
      <c r="B5" s="4"/>
      <c r="C5" s="1"/>
      <c r="D5" s="1"/>
      <c r="E5" s="1"/>
      <c r="F5" s="1"/>
      <c r="G5" s="1"/>
      <c r="H5" s="30"/>
    </row>
    <row r="6" spans="2:15" ht="13.5" customHeight="1">
      <c r="B6" s="4"/>
      <c r="C6" s="1"/>
      <c r="D6" s="1"/>
      <c r="E6" s="1"/>
      <c r="F6" s="1"/>
      <c r="G6" s="1"/>
      <c r="H6" s="30"/>
      <c r="K6" s="3" t="s">
        <v>77</v>
      </c>
    </row>
    <row r="7" spans="2:15">
      <c r="B7" s="31" t="s">
        <v>41</v>
      </c>
      <c r="C7" s="141" t="s">
        <v>109</v>
      </c>
      <c r="D7" s="2"/>
      <c r="E7" s="2"/>
      <c r="F7" s="2"/>
      <c r="G7" s="2"/>
      <c r="H7" s="32"/>
      <c r="J7" s="3" t="s">
        <v>132</v>
      </c>
      <c r="K7" s="3" t="s">
        <v>77</v>
      </c>
    </row>
    <row r="8" spans="2:15">
      <c r="B8" s="44" t="s">
        <v>43</v>
      </c>
      <c r="C8" s="368" t="s">
        <v>181</v>
      </c>
      <c r="D8" s="12"/>
      <c r="E8" s="12"/>
      <c r="F8" s="148"/>
      <c r="G8" s="12"/>
      <c r="H8" s="6"/>
      <c r="J8" s="3" t="s">
        <v>92</v>
      </c>
    </row>
    <row r="9" spans="2:15">
      <c r="B9" s="50"/>
      <c r="C9" s="147"/>
      <c r="D9" s="211"/>
      <c r="E9" s="147"/>
      <c r="F9" s="147"/>
      <c r="G9" s="147"/>
      <c r="H9" s="6"/>
    </row>
    <row r="10" spans="2:15" ht="13.5" thickBot="1">
      <c r="B10" s="36" t="s">
        <v>118</v>
      </c>
      <c r="C10" s="190"/>
      <c r="D10" s="12"/>
      <c r="E10" s="12" t="s">
        <v>90</v>
      </c>
      <c r="F10" s="12" t="s">
        <v>91</v>
      </c>
      <c r="G10" s="12" t="s">
        <v>78</v>
      </c>
      <c r="H10" s="365">
        <v>1</v>
      </c>
      <c r="K10" s="3" t="s">
        <v>128</v>
      </c>
    </row>
    <row r="11" spans="2:15">
      <c r="B11" s="48" t="s">
        <v>119</v>
      </c>
      <c r="C11" s="12"/>
      <c r="D11" s="12"/>
      <c r="E11" s="149" t="str">
        <f>CHOOSE($H$10,"USgpm","lit./min")</f>
        <v>USgpm</v>
      </c>
      <c r="F11" s="140">
        <v>1800</v>
      </c>
      <c r="G11" s="142"/>
      <c r="H11" s="143"/>
      <c r="K11" s="3" t="s">
        <v>129</v>
      </c>
    </row>
    <row r="12" spans="2:15">
      <c r="B12" s="50" t="s">
        <v>120</v>
      </c>
      <c r="C12" s="12"/>
      <c r="D12" s="12"/>
      <c r="E12" s="12" t="s">
        <v>0</v>
      </c>
      <c r="F12" s="42">
        <v>0.9</v>
      </c>
      <c r="G12" s="147"/>
      <c r="H12" s="143"/>
      <c r="O12" s="189"/>
    </row>
    <row r="13" spans="2:15">
      <c r="B13" s="50" t="s">
        <v>123</v>
      </c>
      <c r="C13" s="12"/>
      <c r="D13" s="12"/>
      <c r="E13" s="12" t="s">
        <v>124</v>
      </c>
      <c r="F13" s="42">
        <f>2800*F12*2000/12700</f>
        <v>396.85039370078738</v>
      </c>
      <c r="G13" s="147"/>
      <c r="H13" s="143"/>
      <c r="K13" s="3">
        <v>10</v>
      </c>
      <c r="O13" s="189"/>
    </row>
    <row r="14" spans="2:15">
      <c r="B14" s="50" t="s">
        <v>84</v>
      </c>
      <c r="C14" s="12"/>
      <c r="D14" s="12"/>
      <c r="E14" s="149" t="str">
        <f>CHOOSE(LIQUNITS,"psig","bar.g")</f>
        <v>psig</v>
      </c>
      <c r="F14" s="124">
        <v>250</v>
      </c>
      <c r="G14" s="142"/>
      <c r="H14" s="144"/>
      <c r="K14" s="3">
        <v>21</v>
      </c>
    </row>
    <row r="15" spans="2:15">
      <c r="B15" s="50" t="s">
        <v>5</v>
      </c>
      <c r="C15" s="12"/>
      <c r="D15" s="12"/>
      <c r="E15" s="12" t="s">
        <v>42</v>
      </c>
      <c r="F15" s="38">
        <v>0.1</v>
      </c>
      <c r="G15" s="142"/>
      <c r="H15" s="143"/>
      <c r="I15" s="27"/>
    </row>
    <row r="16" spans="2:15">
      <c r="B16" s="50" t="s">
        <v>80</v>
      </c>
      <c r="C16" s="12"/>
      <c r="D16" s="12"/>
      <c r="E16" s="149" t="str">
        <f>CHOOSE(LIQUNITS,"psia","bara")</f>
        <v>psia</v>
      </c>
      <c r="F16" s="42">
        <v>14.7</v>
      </c>
      <c r="G16" s="142"/>
      <c r="H16" s="143"/>
      <c r="I16" s="27"/>
    </row>
    <row r="17" spans="2:9">
      <c r="B17" s="50" t="s">
        <v>93</v>
      </c>
      <c r="C17" s="12"/>
      <c r="D17" s="12"/>
      <c r="E17" s="149" t="str">
        <f>CHOOSE(LIQUNITS,"psig","bar.g")</f>
        <v>psig</v>
      </c>
      <c r="F17" s="124">
        <v>50</v>
      </c>
      <c r="G17" s="142"/>
      <c r="H17" s="143"/>
      <c r="I17" s="27"/>
    </row>
    <row r="18" spans="2:9" ht="15.75">
      <c r="B18" s="50" t="s">
        <v>117</v>
      </c>
      <c r="C18" s="12"/>
      <c r="D18" s="12"/>
      <c r="E18" s="12"/>
      <c r="F18" s="124">
        <v>0.65</v>
      </c>
      <c r="G18" s="147" t="s">
        <v>168</v>
      </c>
      <c r="H18" s="143"/>
    </row>
    <row r="19" spans="2:9" ht="15.75">
      <c r="B19" s="50" t="s">
        <v>121</v>
      </c>
      <c r="C19" s="12"/>
      <c r="D19" s="12"/>
      <c r="E19" s="12"/>
      <c r="F19" s="42">
        <v>0.97</v>
      </c>
      <c r="G19" s="147"/>
      <c r="H19" s="143"/>
    </row>
    <row r="20" spans="2:9" ht="15.75">
      <c r="B20" s="50" t="s">
        <v>122</v>
      </c>
      <c r="C20" s="12"/>
      <c r="D20" s="12"/>
      <c r="E20" s="12"/>
      <c r="F20" s="42">
        <v>1</v>
      </c>
      <c r="G20" s="145"/>
      <c r="H20" s="143"/>
    </row>
    <row r="21" spans="2:9" ht="15.75">
      <c r="B21" s="50" t="s">
        <v>125</v>
      </c>
      <c r="C21" s="12"/>
      <c r="D21" s="12"/>
      <c r="E21" s="12" t="s">
        <v>127</v>
      </c>
      <c r="F21" s="170">
        <f ca="1">IF(F24&lt;&gt;"YES",1,F41)</f>
        <v>0.96664215350581861</v>
      </c>
      <c r="G21" s="145"/>
      <c r="H21" s="143"/>
    </row>
    <row r="22" spans="2:9" ht="15.75">
      <c r="B22" s="50" t="s">
        <v>171</v>
      </c>
      <c r="C22" s="12"/>
      <c r="D22" s="12"/>
      <c r="F22" s="12">
        <f>CHOOSE(LIQUNITS,38,1/1.178)</f>
        <v>38</v>
      </c>
      <c r="G22" s="145"/>
      <c r="H22" s="143"/>
    </row>
    <row r="23" spans="2:9" ht="15.75">
      <c r="B23" s="50" t="s">
        <v>172</v>
      </c>
      <c r="C23" s="12"/>
      <c r="D23" s="12"/>
      <c r="F23" s="12">
        <f>CHOOSE(LIQUNITS,2800,18800)</f>
        <v>2800</v>
      </c>
      <c r="G23" s="145"/>
      <c r="H23" s="143"/>
    </row>
    <row r="24" spans="2:9">
      <c r="B24" s="50" t="s">
        <v>126</v>
      </c>
      <c r="C24" s="12"/>
      <c r="D24" s="12"/>
      <c r="E24" s="12"/>
      <c r="F24" s="42" t="s">
        <v>128</v>
      </c>
      <c r="G24" s="146"/>
      <c r="H24" s="143"/>
    </row>
    <row r="25" spans="2:9">
      <c r="B25" s="50"/>
      <c r="D25" s="12"/>
      <c r="E25" s="12"/>
      <c r="F25" s="127"/>
      <c r="G25" s="43"/>
      <c r="H25" s="9"/>
    </row>
    <row r="26" spans="2:9">
      <c r="B26" s="44" t="s">
        <v>87</v>
      </c>
      <c r="C26" s="12"/>
      <c r="D26" s="12"/>
      <c r="E26" s="12"/>
      <c r="F26" s="127"/>
      <c r="G26" s="43"/>
      <c r="H26" s="9"/>
    </row>
    <row r="27" spans="2:9" ht="16.5" customHeight="1">
      <c r="B27" s="44"/>
      <c r="C27" s="151" t="s">
        <v>187</v>
      </c>
      <c r="D27" s="12" t="s">
        <v>186</v>
      </c>
      <c r="E27" s="12"/>
      <c r="F27" s="127"/>
      <c r="G27" s="43"/>
      <c r="H27" s="9"/>
    </row>
    <row r="28" spans="2:9">
      <c r="B28" s="48" t="s">
        <v>6</v>
      </c>
      <c r="C28" s="12"/>
      <c r="D28" s="12"/>
      <c r="E28" s="149" t="str">
        <f>CHOOSE(LIQUNITS,"psia","bara")</f>
        <v>psia</v>
      </c>
      <c r="F28" s="125">
        <f>F14*(1+F15)+14.6959</f>
        <v>289.69589999999999</v>
      </c>
      <c r="G28" s="59">
        <f>+F28*14.5</f>
        <v>4200.5905499999999</v>
      </c>
      <c r="H28" s="10"/>
    </row>
    <row r="29" spans="2:9">
      <c r="B29" s="150" t="s">
        <v>184</v>
      </c>
      <c r="C29" s="151" t="s">
        <v>188</v>
      </c>
      <c r="D29" s="12" t="s">
        <v>185</v>
      </c>
      <c r="E29" s="149" t="str">
        <f>CHOOSE(LIQUNITS,"psia","bara")</f>
        <v>psia</v>
      </c>
      <c r="F29" s="125">
        <f>F17+F16</f>
        <v>64.7</v>
      </c>
      <c r="G29" s="59"/>
      <c r="H29" s="10"/>
    </row>
    <row r="30" spans="2:9" ht="14.25">
      <c r="B30" s="129" t="s">
        <v>169</v>
      </c>
      <c r="C30" s="12"/>
      <c r="D30" s="12"/>
      <c r="E30" s="149"/>
      <c r="F30" s="125"/>
      <c r="G30" s="59"/>
      <c r="H30" s="10"/>
    </row>
    <row r="31" spans="2:9" ht="15.75">
      <c r="B31" s="48"/>
      <c r="C31" s="151" t="s">
        <v>175</v>
      </c>
      <c r="D31" s="128" t="s">
        <v>170</v>
      </c>
      <c r="E31" s="149"/>
      <c r="F31" s="125"/>
      <c r="G31" s="139" t="s">
        <v>190</v>
      </c>
      <c r="H31" s="10"/>
    </row>
    <row r="32" spans="2:9" ht="15.75">
      <c r="B32" s="150"/>
      <c r="C32" s="12"/>
      <c r="D32" s="366" t="s">
        <v>183</v>
      </c>
      <c r="E32" s="149"/>
      <c r="F32" s="125"/>
      <c r="G32" s="59"/>
      <c r="H32" s="10"/>
    </row>
    <row r="33" spans="2:8" ht="15.75">
      <c r="B33" s="150" t="s">
        <v>182</v>
      </c>
      <c r="C33" s="12"/>
      <c r="D33" s="12"/>
      <c r="E33" s="149" t="str">
        <f>CHOOSE(LIQUNITS,"in2","mm2")</f>
        <v>in2</v>
      </c>
      <c r="F33" s="176">
        <f ca="1">F11*SQRT((F12/(F28-F29)))/Carea/F18/F19/F20/F21</f>
        <v>4.9155491189329483</v>
      </c>
      <c r="G33" s="178"/>
      <c r="H33" s="10"/>
    </row>
    <row r="34" spans="2:8">
      <c r="B34" s="35" t="s">
        <v>11</v>
      </c>
      <c r="C34" s="53"/>
      <c r="D34" s="15"/>
      <c r="E34" s="15"/>
      <c r="F34" s="181" t="str">
        <f ca="1">CHOOSE(LIQUNITS,VLOOKUP(F33,orifices,2,TRUE),VLOOKUP(0.0015500031*F33,orifices,2,TRUE))</f>
        <v>4 P 6</v>
      </c>
      <c r="G34" s="59"/>
      <c r="H34" s="10"/>
    </row>
    <row r="35" spans="2:8" ht="13.5" customHeight="1">
      <c r="B35" s="35" t="s">
        <v>110</v>
      </c>
      <c r="C35" s="12"/>
      <c r="D35" s="12" t="s">
        <v>189</v>
      </c>
      <c r="E35" s="149" t="str">
        <f>CHOOSE(LIQUNITS,"in2","mm2")</f>
        <v>in2</v>
      </c>
      <c r="F35" s="260">
        <f ca="1">CHOOSE(LIQUNITS,1,645.16)*VLOOKUP(F34,orificesize,2,FALSE)</f>
        <v>6.3789999999999996</v>
      </c>
      <c r="G35" s="139"/>
      <c r="H35" s="10"/>
    </row>
    <row r="36" spans="2:8">
      <c r="B36" s="4"/>
      <c r="E36" s="12"/>
      <c r="F36" s="136"/>
      <c r="G36" s="41"/>
      <c r="H36" s="9"/>
    </row>
    <row r="37" spans="2:8">
      <c r="B37" s="129" t="s">
        <v>173</v>
      </c>
      <c r="C37" s="12"/>
      <c r="D37" s="12"/>
      <c r="E37" s="149"/>
      <c r="F37" s="184"/>
      <c r="G37" s="191"/>
      <c r="H37" s="185"/>
    </row>
    <row r="38" spans="2:8" ht="15.75">
      <c r="B38" s="48"/>
      <c r="C38" s="151" t="s">
        <v>174</v>
      </c>
      <c r="D38" s="12" t="s">
        <v>176</v>
      </c>
      <c r="E38" s="149"/>
      <c r="F38" s="191">
        <f ca="1">F11*F23*F12/F13/SQRT(F33)</f>
        <v>5155.3743960837901</v>
      </c>
      <c r="G38" s="12"/>
      <c r="H38" s="30"/>
    </row>
    <row r="39" spans="2:8">
      <c r="B39" s="44"/>
      <c r="C39" s="12"/>
      <c r="D39" s="12"/>
      <c r="E39" s="12"/>
      <c r="G39" s="12"/>
      <c r="H39" s="30"/>
    </row>
    <row r="40" spans="2:8">
      <c r="B40" s="44" t="s">
        <v>177</v>
      </c>
      <c r="C40" s="153"/>
      <c r="D40" s="154"/>
      <c r="E40" s="12"/>
      <c r="F40" s="12"/>
      <c r="G40" s="12"/>
      <c r="H40" s="30"/>
    </row>
    <row r="41" spans="2:8" ht="14.25">
      <c r="B41" s="50"/>
      <c r="C41" s="153" t="s">
        <v>178</v>
      </c>
      <c r="D41" s="1" t="s">
        <v>179</v>
      </c>
      <c r="E41" s="1"/>
      <c r="F41" s="367">
        <f ca="1">1/(0.9935+2.878/SQRT(F38)+342.75/(F38^1.5))</f>
        <v>0.96664215350581861</v>
      </c>
      <c r="G41" s="192"/>
      <c r="H41" s="30"/>
    </row>
    <row r="42" spans="2:8">
      <c r="B42" s="50"/>
      <c r="C42" s="153"/>
      <c r="D42" s="1"/>
      <c r="E42" s="1"/>
      <c r="G42" s="193"/>
      <c r="H42" s="30"/>
    </row>
    <row r="43" spans="2:8">
      <c r="B43" s="50"/>
      <c r="C43" s="1"/>
      <c r="D43" s="1"/>
      <c r="E43" s="149"/>
      <c r="F43" s="166"/>
      <c r="G43" s="191"/>
      <c r="H43" s="185"/>
    </row>
    <row r="44" spans="2:8">
      <c r="B44" s="50"/>
      <c r="C44" s="1"/>
      <c r="D44" s="1"/>
      <c r="E44" s="149"/>
      <c r="F44" s="166"/>
      <c r="G44" s="191"/>
      <c r="H44" s="185"/>
    </row>
    <row r="45" spans="2:8">
      <c r="B45" s="50"/>
      <c r="C45" s="1"/>
      <c r="D45" s="1"/>
      <c r="E45" s="149"/>
      <c r="F45" s="166"/>
      <c r="G45" s="191"/>
      <c r="H45" s="185"/>
    </row>
    <row r="46" spans="2:8">
      <c r="B46" s="48"/>
      <c r="C46" s="66"/>
      <c r="D46" s="1"/>
      <c r="E46" s="149"/>
      <c r="F46" s="194"/>
      <c r="G46" s="191"/>
      <c r="H46" s="185"/>
    </row>
    <row r="47" spans="2:8">
      <c r="B47" s="48"/>
      <c r="C47" s="133"/>
      <c r="D47" s="155"/>
      <c r="E47" s="149"/>
      <c r="F47" s="12"/>
      <c r="G47" s="12"/>
      <c r="H47" s="30"/>
    </row>
    <row r="48" spans="2:8">
      <c r="B48" s="129"/>
      <c r="C48" s="12"/>
      <c r="D48" s="12"/>
      <c r="E48" s="12"/>
      <c r="F48" s="151"/>
      <c r="G48" s="12"/>
      <c r="H48" s="30"/>
    </row>
    <row r="49" spans="2:16">
      <c r="B49" s="156"/>
      <c r="C49" s="1"/>
      <c r="D49" s="1"/>
      <c r="E49" s="12"/>
      <c r="F49" s="157"/>
      <c r="G49" s="1"/>
      <c r="H49" s="30"/>
    </row>
    <row r="50" spans="2:16">
      <c r="B50" s="50"/>
      <c r="C50" s="12"/>
      <c r="D50" s="12"/>
      <c r="E50" s="12"/>
      <c r="F50" s="195"/>
      <c r="G50" s="1"/>
      <c r="H50" s="30"/>
    </row>
    <row r="51" spans="2:16">
      <c r="B51" s="4"/>
      <c r="C51" s="12"/>
      <c r="D51" s="12"/>
      <c r="E51" s="12"/>
      <c r="F51" s="158"/>
      <c r="G51" s="12"/>
      <c r="H51" s="30"/>
    </row>
    <row r="52" spans="2:16">
      <c r="B52" s="44" t="s">
        <v>14</v>
      </c>
      <c r="C52" s="12" t="str">
        <f ca="1">CONCATENATE("As per Relief valve selection table:- ",F34," , to be considered")</f>
        <v>As per Relief valve selection table:- 4 P 6 , to be considered</v>
      </c>
      <c r="D52" s="12"/>
      <c r="E52" s="12"/>
      <c r="F52" s="157"/>
      <c r="G52" s="12"/>
      <c r="H52" s="30"/>
    </row>
    <row r="53" spans="2:16">
      <c r="B53" s="50"/>
      <c r="C53" s="12"/>
      <c r="D53" s="12"/>
      <c r="E53" s="12"/>
      <c r="F53" s="12"/>
      <c r="G53" s="12"/>
      <c r="H53" s="30"/>
    </row>
    <row r="54" spans="2:16">
      <c r="B54" s="138" t="s">
        <v>15</v>
      </c>
      <c r="C54" s="56"/>
      <c r="D54" s="12"/>
      <c r="E54" s="12"/>
      <c r="F54" s="12"/>
      <c r="G54" s="12"/>
      <c r="H54" s="9"/>
    </row>
    <row r="55" spans="2:16">
      <c r="B55" s="138" t="s">
        <v>16</v>
      </c>
      <c r="C55" s="12"/>
      <c r="D55" s="12"/>
      <c r="E55" s="12"/>
      <c r="F55" s="12"/>
      <c r="G55" s="12"/>
      <c r="H55" s="30"/>
    </row>
    <row r="56" spans="2:16" ht="13.5" thickBot="1">
      <c r="B56" s="50" t="s">
        <v>73</v>
      </c>
      <c r="C56" s="12"/>
      <c r="D56" s="12"/>
      <c r="E56" s="12"/>
      <c r="F56" s="12"/>
      <c r="G56" s="12"/>
      <c r="H56" s="30"/>
    </row>
    <row r="57" spans="2:16">
      <c r="B57" s="55" t="s">
        <v>17</v>
      </c>
      <c r="C57" s="57"/>
      <c r="D57" s="57"/>
      <c r="E57" s="56"/>
      <c r="F57" s="57"/>
      <c r="G57" s="57"/>
      <c r="H57" s="30"/>
      <c r="K57" s="196"/>
      <c r="L57" s="197"/>
      <c r="M57" s="197"/>
      <c r="N57" s="197"/>
      <c r="O57" s="197"/>
      <c r="P57" s="198"/>
    </row>
    <row r="58" spans="2:16">
      <c r="B58" s="50"/>
      <c r="C58" s="385" t="str">
        <f>'RV Selection(Crit flow)'!C62</f>
        <v>Orifice</v>
      </c>
      <c r="D58" s="386" t="str">
        <f>'RV Selection(Crit flow)'!D62</f>
        <v>Area</v>
      </c>
      <c r="E58" s="386" t="str">
        <f>'RV Selection(Crit flow)'!E62</f>
        <v>Area</v>
      </c>
      <c r="F58" s="386" t="str">
        <f>'RV Selection(Crit flow)'!F62</f>
        <v>Orifice</v>
      </c>
      <c r="G58" s="386" t="str">
        <f>'RV Selection(Crit flow)'!G62</f>
        <v>Area</v>
      </c>
      <c r="H58" s="396" t="str">
        <f>'RV Selection(Crit flow)'!H62</f>
        <v>Area</v>
      </c>
      <c r="K58" s="199">
        <v>1</v>
      </c>
      <c r="L58" s="200">
        <v>2</v>
      </c>
      <c r="M58" s="200"/>
      <c r="N58" s="201">
        <v>1E-4</v>
      </c>
      <c r="O58" s="122" t="s">
        <v>20</v>
      </c>
      <c r="P58" s="123">
        <v>0.11</v>
      </c>
    </row>
    <row r="59" spans="2:16">
      <c r="B59" s="50"/>
      <c r="C59" s="387">
        <f>'RV Selection(Crit flow)'!C63</f>
        <v>0</v>
      </c>
      <c r="D59" s="388" t="str">
        <f>'RV Selection(Crit flow)'!D63</f>
        <v>in2</v>
      </c>
      <c r="E59" s="388" t="str">
        <f>'RV Selection(Crit flow)'!E63</f>
        <v>mm²</v>
      </c>
      <c r="F59" s="388">
        <f>'RV Selection(Crit flow)'!F63</f>
        <v>0</v>
      </c>
      <c r="G59" s="388" t="str">
        <f>'RV Selection(Crit flow)'!G63</f>
        <v>in2</v>
      </c>
      <c r="H59" s="393" t="str">
        <f>'RV Selection(Crit flow)'!H63</f>
        <v>mm2</v>
      </c>
      <c r="K59" s="199">
        <v>2</v>
      </c>
      <c r="L59" s="200"/>
      <c r="M59" s="200"/>
      <c r="N59" s="121">
        <v>0.11</v>
      </c>
      <c r="O59" s="202" t="s">
        <v>22</v>
      </c>
      <c r="P59" s="123">
        <v>0.19600000000000001</v>
      </c>
    </row>
    <row r="60" spans="2:16">
      <c r="B60" s="50"/>
      <c r="C60" s="387" t="str">
        <f>'RV Selection(Crit flow)'!C64</f>
        <v>1 D 2</v>
      </c>
      <c r="D60" s="389">
        <f>'RV Selection(Crit flow)'!D64</f>
        <v>0.11</v>
      </c>
      <c r="E60" s="388">
        <f>'RV Selection(Crit flow)'!E64</f>
        <v>71</v>
      </c>
      <c r="F60" s="388" t="str">
        <f>'RV Selection(Crit flow)'!F64</f>
        <v>4 L 6</v>
      </c>
      <c r="G60" s="394">
        <f>'RV Selection(Crit flow)'!G64</f>
        <v>2.8530000000000002</v>
      </c>
      <c r="H60" s="393">
        <f>'RV Selection(Crit flow)'!H64</f>
        <v>1841</v>
      </c>
      <c r="K60" s="199">
        <v>3</v>
      </c>
      <c r="L60" s="200"/>
      <c r="M60" s="200"/>
      <c r="N60" s="121">
        <v>0.19600000000000001</v>
      </c>
      <c r="O60" s="202" t="s">
        <v>24</v>
      </c>
      <c r="P60" s="123">
        <v>0.307</v>
      </c>
    </row>
    <row r="61" spans="2:16">
      <c r="B61" s="50"/>
      <c r="C61" s="387" t="str">
        <f>'RV Selection(Crit flow)'!C65</f>
        <v>1 E 2</v>
      </c>
      <c r="D61" s="389">
        <f>'RV Selection(Crit flow)'!D65</f>
        <v>0.19600000000000001</v>
      </c>
      <c r="E61" s="388">
        <f>'RV Selection(Crit flow)'!E65</f>
        <v>125</v>
      </c>
      <c r="F61" s="388" t="str">
        <f>'RV Selection(Crit flow)'!F65</f>
        <v>4 M 6</v>
      </c>
      <c r="G61" s="394">
        <f>'RV Selection(Crit flow)'!G65</f>
        <v>3.6</v>
      </c>
      <c r="H61" s="393">
        <f>'RV Selection(Crit flow)'!H65</f>
        <v>2323</v>
      </c>
      <c r="K61" s="199">
        <v>4</v>
      </c>
      <c r="L61" s="200"/>
      <c r="M61" s="200"/>
      <c r="N61" s="121">
        <v>0.307</v>
      </c>
      <c r="O61" s="202" t="s">
        <v>26</v>
      </c>
      <c r="P61" s="123">
        <v>0.503</v>
      </c>
    </row>
    <row r="62" spans="2:16">
      <c r="B62" s="50"/>
      <c r="C62" s="387" t="str">
        <f>'RV Selection(Crit flow)'!C66</f>
        <v>1.5 F 2</v>
      </c>
      <c r="D62" s="389">
        <f>'RV Selection(Crit flow)'!D66</f>
        <v>0.307</v>
      </c>
      <c r="E62" s="388">
        <f>'RV Selection(Crit flow)'!E66</f>
        <v>198</v>
      </c>
      <c r="F62" s="388" t="str">
        <f>'RV Selection(Crit flow)'!F66</f>
        <v>4 N 6</v>
      </c>
      <c r="G62" s="394">
        <f>'RV Selection(Crit flow)'!G66</f>
        <v>4.34</v>
      </c>
      <c r="H62" s="393">
        <f>'RV Selection(Crit flow)'!H66</f>
        <v>2800</v>
      </c>
      <c r="K62" s="199">
        <v>5</v>
      </c>
      <c r="L62" s="200"/>
      <c r="M62" s="200"/>
      <c r="N62" s="121">
        <v>0.503</v>
      </c>
      <c r="O62" s="202" t="s">
        <v>28</v>
      </c>
      <c r="P62" s="123">
        <v>0.78500000000000003</v>
      </c>
    </row>
    <row r="63" spans="2:16">
      <c r="B63" s="50"/>
      <c r="C63" s="387" t="str">
        <f>'RV Selection(Crit flow)'!C67</f>
        <v>2 G 3</v>
      </c>
      <c r="D63" s="389">
        <f>'RV Selection(Crit flow)'!D67</f>
        <v>0.503</v>
      </c>
      <c r="E63" s="388">
        <f>'RV Selection(Crit flow)'!E67</f>
        <v>325</v>
      </c>
      <c r="F63" s="388" t="str">
        <f>'RV Selection(Crit flow)'!F67</f>
        <v>4 P 6</v>
      </c>
      <c r="G63" s="394">
        <f>'RV Selection(Crit flow)'!G67</f>
        <v>6.3789999999999996</v>
      </c>
      <c r="H63" s="393">
        <f>'RV Selection(Crit flow)'!H67</f>
        <v>4116</v>
      </c>
      <c r="K63" s="199">
        <v>6</v>
      </c>
      <c r="L63" s="200"/>
      <c r="M63" s="200"/>
      <c r="N63" s="121">
        <v>0.78500000000000003</v>
      </c>
      <c r="O63" s="202" t="s">
        <v>30</v>
      </c>
      <c r="P63" s="123">
        <v>1.2869999999999999</v>
      </c>
    </row>
    <row r="64" spans="2:16">
      <c r="B64" s="50"/>
      <c r="C64" s="387" t="str">
        <f>'RV Selection(Crit flow)'!C68</f>
        <v>2 H 3</v>
      </c>
      <c r="D64" s="389">
        <f>'RV Selection(Crit flow)'!D68</f>
        <v>0.78500000000000003</v>
      </c>
      <c r="E64" s="388">
        <f>'RV Selection(Crit flow)'!E68</f>
        <v>506</v>
      </c>
      <c r="F64" s="388" t="str">
        <f>'RV Selection(Crit flow)'!F68</f>
        <v>6 Q 8</v>
      </c>
      <c r="G64" s="394">
        <f>'RV Selection(Crit flow)'!G68</f>
        <v>11.045</v>
      </c>
      <c r="H64" s="393">
        <f>'RV Selection(Crit flow)'!H68</f>
        <v>7129</v>
      </c>
      <c r="K64" s="199">
        <v>7</v>
      </c>
      <c r="L64" s="200"/>
      <c r="M64" s="200"/>
      <c r="N64" s="121">
        <v>1.2869999999999999</v>
      </c>
      <c r="O64" s="202" t="s">
        <v>32</v>
      </c>
      <c r="P64" s="123">
        <v>1.8380000000000001</v>
      </c>
    </row>
    <row r="65" spans="2:16">
      <c r="B65" s="50"/>
      <c r="C65" s="390" t="str">
        <f>'RV Selection(Crit flow)'!C69</f>
        <v>3 J 4</v>
      </c>
      <c r="D65" s="391">
        <f>'RV Selection(Crit flow)'!D69</f>
        <v>1.2869999999999999</v>
      </c>
      <c r="E65" s="392">
        <f>'RV Selection(Crit flow)'!E69</f>
        <v>830</v>
      </c>
      <c r="F65" s="392" t="str">
        <f>'RV Selection(Crit flow)'!F69</f>
        <v>6 R 10</v>
      </c>
      <c r="G65" s="395">
        <f>'RV Selection(Crit flow)'!G69</f>
        <v>16</v>
      </c>
      <c r="H65" s="397">
        <f>'RV Selection(Crit flow)'!H69</f>
        <v>10323</v>
      </c>
      <c r="K65" s="199">
        <v>8</v>
      </c>
      <c r="L65" s="200"/>
      <c r="M65" s="200"/>
      <c r="N65" s="121">
        <v>1.8380000000000001</v>
      </c>
      <c r="O65" s="202" t="s">
        <v>21</v>
      </c>
      <c r="P65" s="123">
        <v>2.8530000000000002</v>
      </c>
    </row>
    <row r="66" spans="2:16" ht="13.5" thickBot="1">
      <c r="B66" s="159"/>
      <c r="C66" s="160"/>
      <c r="D66" s="161"/>
      <c r="E66" s="161"/>
      <c r="F66" s="161"/>
      <c r="G66" s="161"/>
      <c r="H66" s="162"/>
      <c r="K66" s="199">
        <v>9</v>
      </c>
      <c r="L66" s="200"/>
      <c r="M66" s="200"/>
      <c r="N66" s="121">
        <v>2.8530000000000002</v>
      </c>
      <c r="O66" s="202" t="s">
        <v>23</v>
      </c>
      <c r="P66" s="123">
        <v>3.6</v>
      </c>
    </row>
    <row r="67" spans="2:16">
      <c r="B67" s="1"/>
      <c r="C67" s="1"/>
      <c r="D67" s="163"/>
      <c r="E67" s="164"/>
      <c r="F67" s="164"/>
      <c r="G67" s="1"/>
      <c r="H67" s="1"/>
      <c r="K67" s="199">
        <v>10</v>
      </c>
      <c r="L67" s="200"/>
      <c r="M67" s="200"/>
      <c r="N67" s="121">
        <v>3.6</v>
      </c>
      <c r="O67" s="202" t="s">
        <v>25</v>
      </c>
      <c r="P67" s="123">
        <v>4.34</v>
      </c>
    </row>
    <row r="68" spans="2:16">
      <c r="K68" s="199">
        <v>11</v>
      </c>
      <c r="L68" s="200"/>
      <c r="M68" s="200"/>
      <c r="N68" s="121">
        <v>4.34</v>
      </c>
      <c r="O68" s="202" t="s">
        <v>27</v>
      </c>
      <c r="P68" s="123">
        <v>6.3789999999999996</v>
      </c>
    </row>
    <row r="69" spans="2:16">
      <c r="K69" s="199">
        <v>12</v>
      </c>
      <c r="L69" s="200"/>
      <c r="M69" s="200"/>
      <c r="N69" s="121">
        <v>6.3789999999999996</v>
      </c>
      <c r="O69" s="202" t="s">
        <v>29</v>
      </c>
      <c r="P69" s="123">
        <v>11.045</v>
      </c>
    </row>
    <row r="70" spans="2:16">
      <c r="K70" s="199">
        <v>13</v>
      </c>
      <c r="L70" s="200"/>
      <c r="M70" s="200"/>
      <c r="N70" s="121">
        <v>11.045</v>
      </c>
      <c r="O70" s="202" t="s">
        <v>31</v>
      </c>
      <c r="P70" s="123">
        <v>16</v>
      </c>
    </row>
    <row r="71" spans="2:16">
      <c r="K71" s="199">
        <v>14</v>
      </c>
      <c r="L71" s="200"/>
      <c r="M71" s="200"/>
      <c r="N71" s="121">
        <v>16</v>
      </c>
      <c r="O71" s="122" t="s">
        <v>33</v>
      </c>
      <c r="P71" s="123">
        <v>26</v>
      </c>
    </row>
    <row r="72" spans="2:16" ht="13.5" thickBot="1">
      <c r="K72" s="203"/>
      <c r="L72" s="204"/>
      <c r="M72" s="204"/>
      <c r="N72" s="205">
        <v>26</v>
      </c>
      <c r="O72" s="204" t="s">
        <v>40</v>
      </c>
      <c r="P72" s="206"/>
    </row>
  </sheetData>
  <mergeCells count="7">
    <mergeCell ref="D1:H1"/>
    <mergeCell ref="F2:H2"/>
    <mergeCell ref="B3:C4"/>
    <mergeCell ref="B1:C1"/>
    <mergeCell ref="F3:G3"/>
    <mergeCell ref="F4:G4"/>
    <mergeCell ref="D2:E2"/>
  </mergeCells>
  <dataValidations count="1">
    <dataValidation type="list" allowBlank="1" showInputMessage="1" showErrorMessage="1" sqref="F24">
      <formula1>$K$10:$K$11</formula1>
    </dataValidation>
  </dataValidations>
  <pageMargins left="0.25" right="0.25" top="0.25" bottom="0.46" header="0.5" footer="0.5"/>
  <pageSetup paperSize="9" scale="81" orientation="portrait" horizontalDpi="300" verticalDpi="300" r:id="rId1"/>
  <headerFooter alignWithMargins="0">
    <oddFooter>&amp;L&amp;F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2.75"/>
  <sheetData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Summary</vt:lpstr>
      <vt:lpstr>RV Selection(Crit flow)</vt:lpstr>
      <vt:lpstr>RV Selection (sub-crit)</vt:lpstr>
      <vt:lpstr>RV Selection Liq cert</vt:lpstr>
      <vt:lpstr>Spare</vt:lpstr>
      <vt:lpstr>Approved_Process</vt:lpstr>
      <vt:lpstr>Carea</vt:lpstr>
      <vt:lpstr>Checked_by</vt:lpstr>
      <vt:lpstr>Document</vt:lpstr>
      <vt:lpstr>LIQUNITS</vt:lpstr>
      <vt:lpstr>Made_by</vt:lpstr>
      <vt:lpstr>'RV Selection (sub-crit)'!orifices</vt:lpstr>
      <vt:lpstr>'RV Selection Liq cert'!orifices</vt:lpstr>
      <vt:lpstr>orifices</vt:lpstr>
      <vt:lpstr>'RV Selection (sub-crit)'!orificesize</vt:lpstr>
      <vt:lpstr>'RV Selection Liq cert'!orificesize</vt:lpstr>
      <vt:lpstr>orificesize</vt:lpstr>
      <vt:lpstr>'RV Selection (sub-crit)'!Print_Area</vt:lpstr>
      <vt:lpstr>'RV Selection(Crit flow)'!Print_Area</vt:lpstr>
      <vt:lpstr>Summary!Print_Area</vt:lpstr>
      <vt:lpstr>UNITS</vt:lpstr>
      <vt:lpstr>Z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API RP520 Relief Valve Sizing</dc:title>
  <dc:creator>J Goldbloom</dc:creator>
  <dc:description>Checked vs Examples in original</dc:description>
  <cp:lastModifiedBy>Chris Haslego</cp:lastModifiedBy>
  <cp:lastPrinted>2003-12-15T10:55:48Z</cp:lastPrinted>
  <dcterms:created xsi:type="dcterms:W3CDTF">2003-09-03T16:07:51Z</dcterms:created>
  <dcterms:modified xsi:type="dcterms:W3CDTF">2011-08-30T18:27:39Z</dcterms:modified>
</cp:coreProperties>
</file>